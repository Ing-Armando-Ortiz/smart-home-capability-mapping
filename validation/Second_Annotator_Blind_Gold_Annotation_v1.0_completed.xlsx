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Coding_Manual" sheetId="2" state="visible" r:id="rId2"/>
    <sheet xmlns:r="http://schemas.openxmlformats.org/officeDocument/2006/relationships" name="Annotation_36" sheetId="3" state="visible" r:id="rId3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9C0006"/>
      <sz val="11"/>
    </font>
    <font>
      <name val="Carlito"/>
      <b val="1"/>
      <color rgb="FFFFFFFF"/>
      <sz val="11"/>
    </font>
    <font>
      <name val="Carlito"/>
      <b val="1"/>
      <color rgb="FFFFFFFF"/>
      <sz val="9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4472C4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5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2" borderId="0" pivotButton="0" quotePrefix="0" xfId="0"/>
    <xf numFmtId="0" fontId="4" fillId="2" borderId="0" applyAlignment="1" pivotButton="0" quotePrefix="0" xfId="0">
      <alignment horizontal="center"/>
    </xf>
    <xf numFmtId="0" fontId="4" fillId="2" borderId="1" pivotButton="0" quotePrefix="0" xfId="0"/>
    <xf numFmtId="0" fontId="4" fillId="2" borderId="1" applyAlignment="1" pivotButton="0" quotePrefix="0" xfId="0">
      <alignment horizontal="center"/>
    </xf>
    <xf numFmtId="0" fontId="4" fillId="2" borderId="0" applyAlignment="1" pivotButton="0" quotePrefix="0" xfId="0">
      <alignment horizontal="center" wrapText="1"/>
    </xf>
    <xf numFmtId="0" fontId="4" fillId="2" borderId="1" applyAlignment="1" pivotButton="0" quotePrefix="0" xfId="0">
      <alignment horizontal="center" wrapText="1"/>
    </xf>
    <xf numFmtId="0" fontId="4" fillId="2" borderId="0" applyAlignment="1" pivotButton="0" quotePrefix="0" xfId="0">
      <alignment wrapText="1"/>
    </xf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wrapText="1"/>
    </xf>
    <xf numFmtId="0" fontId="4" fillId="2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/>
  </cellStyles>
  <dxfs count="3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0" t="inlineStr">
        <is>
          <t>Independent Gold-Standard Annotation — Second Annotator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7" t="n"/>
      <c r="B2" s="27" t="n"/>
      <c r="C2" s="27" t="n"/>
      <c r="D2" s="27" t="n"/>
      <c r="E2" s="27" t="n"/>
      <c r="F2" s="27" t="n"/>
      <c r="G2" s="27" t="n"/>
      <c r="H2" s="27" t="n"/>
    </row>
    <row r="3">
      <c r="A3" s="28" t="inlineStr">
        <is>
          <t>Field</t>
        </is>
      </c>
      <c r="B3" s="28" t="inlineStr">
        <is>
          <t>Value</t>
        </is>
      </c>
      <c r="C3" s="27" t="n"/>
      <c r="D3" s="27" t="n"/>
      <c r="E3" s="27" t="n"/>
      <c r="F3" s="27" t="n"/>
      <c r="G3" s="27" t="n"/>
      <c r="H3" s="27" t="n"/>
    </row>
    <row r="4">
      <c r="A4" s="27" t="inlineStr">
        <is>
          <t>Study</t>
        </is>
      </c>
      <c r="B4" s="27" t="inlineStr">
        <is>
          <t>LLM-Based Semantic Capability Mapping for Heterogeneous Smart-Home IoT Devices</t>
        </is>
      </c>
      <c r="C4" s="27" t="n"/>
      <c r="D4" s="27" t="n"/>
      <c r="E4" s="27" t="n"/>
      <c r="F4" s="27" t="n"/>
      <c r="G4" s="27" t="n"/>
      <c r="H4" s="27" t="n"/>
    </row>
    <row r="5">
      <c r="A5" s="27" t="inlineStr">
        <is>
          <t>Purpose</t>
        </is>
      </c>
      <c r="B5" s="27" t="inlineStr">
        <is>
          <t>Independent second annotation of the 36 source devices to assess Gold-Standard agreement.</t>
        </is>
      </c>
      <c r="C5" s="27" t="n"/>
      <c r="D5" s="27" t="n"/>
      <c r="E5" s="27" t="n"/>
      <c r="F5" s="27" t="n"/>
      <c r="G5" s="27" t="n"/>
      <c r="H5" s="27" t="n"/>
    </row>
    <row r="6">
      <c r="A6" s="27" t="inlineStr">
        <is>
          <t>Benchmark version</t>
        </is>
      </c>
      <c r="B6" s="27" t="inlineStr">
        <is>
          <t>SmartHome_Capability_Mapping_Dataset_v1.4_Corrected</t>
        </is>
      </c>
      <c r="C6" s="27" t="n"/>
      <c r="D6" s="27" t="n"/>
      <c r="E6" s="27" t="n"/>
      <c r="F6" s="27" t="n"/>
      <c r="G6" s="27" t="n"/>
      <c r="H6" s="27" t="n"/>
    </row>
    <row r="7">
      <c r="A7" s="27" t="inlineStr">
        <is>
          <t>Annotation order</t>
        </is>
      </c>
      <c r="B7" s="27" t="inlineStr">
        <is>
          <t>Randomized with fixed seed 20261027</t>
        </is>
      </c>
      <c r="C7" s="27" t="n"/>
      <c r="D7" s="27" t="n"/>
      <c r="E7" s="27" t="n"/>
      <c r="F7" s="27" t="n"/>
      <c r="G7" s="27" t="n"/>
      <c r="H7" s="27" t="n"/>
    </row>
    <row r="8">
      <c r="A8" s="27" t="inlineStr">
        <is>
          <t>Second annotator</t>
        </is>
      </c>
      <c r="B8" s="27" t="str"/>
      <c r="C8" s="27" t="n"/>
      <c r="D8" s="27" t="n"/>
      <c r="E8" s="27" t="n"/>
      <c r="F8" s="27" t="n"/>
      <c r="G8" s="27" t="n"/>
      <c r="H8" s="27" t="n"/>
    </row>
    <row r="9">
      <c r="A9" s="27" t="inlineStr">
        <is>
          <t>Annotation date</t>
        </is>
      </c>
      <c r="B9" s="27" t="str"/>
      <c r="C9" s="27" t="n"/>
      <c r="D9" s="27" t="n"/>
      <c r="E9" s="27" t="n"/>
      <c r="F9" s="27" t="n"/>
      <c r="G9" s="27" t="n"/>
      <c r="H9" s="27" t="n"/>
    </row>
    <row r="10">
      <c r="A10" s="27" t="n"/>
      <c r="B10" s="27" t="n"/>
      <c r="C10" s="27" t="n"/>
      <c r="D10" s="27" t="n"/>
      <c r="E10" s="27" t="n"/>
      <c r="F10" s="27" t="n"/>
      <c r="G10" s="27" t="n"/>
      <c r="H10" s="27" t="n"/>
    </row>
    <row r="11">
      <c r="A11" s="32" t="inlineStr">
        <is>
          <t>Annotation procedure</t>
        </is>
      </c>
      <c r="B11" s="1" t="n"/>
      <c r="C11" s="1" t="n"/>
      <c r="D11" s="1" t="n"/>
      <c r="E11" s="1" t="n"/>
      <c r="F11" s="1" t="n"/>
      <c r="G11" s="1" t="n"/>
      <c r="H11" s="1" t="n"/>
    </row>
    <row r="12">
      <c r="A12" s="31" t="inlineStr">
        <is>
          <t>1. Work independently. Do not consult the original Gold Standard, LLM predictions, rule-based baseline predictions, or previous adjudication notes.</t>
        </is>
      </c>
      <c r="B12" s="1" t="n"/>
      <c r="C12" s="1" t="n"/>
      <c r="D12" s="1" t="n"/>
      <c r="E12" s="1" t="n"/>
      <c r="F12" s="1" t="n"/>
      <c r="G12" s="1" t="n"/>
      <c r="H12" s="1" t="n"/>
    </row>
    <row r="13">
      <c r="A13" s="31" t="inlineStr">
        <is>
          <t>2. For each case, open the primary Source URL and inspect the device documentation. The Raw features column is only a navigation aid.</t>
        </is>
      </c>
      <c r="B13" s="1" t="n"/>
      <c r="C13" s="1" t="n"/>
      <c r="D13" s="1" t="n"/>
      <c r="E13" s="1" t="n"/>
      <c r="F13" s="1" t="n"/>
      <c r="G13" s="1" t="n"/>
      <c r="H13" s="1" t="n"/>
    </row>
    <row r="14">
      <c r="A14" s="31" t="inlineStr">
        <is>
          <t>3. Assign a capability only when the source documentation explicitly supports the underlying functionality. Do not infer a capability only from product category.</t>
        </is>
      </c>
      <c r="B14" s="1" t="n"/>
      <c r="C14" s="1" t="n"/>
      <c r="D14" s="1" t="n"/>
      <c r="E14" s="1" t="n"/>
      <c r="F14" s="1" t="n"/>
      <c r="G14" s="1" t="n"/>
      <c r="H14" s="1" t="n"/>
    </row>
    <row r="15">
      <c r="A15" s="31" t="inlineStr">
        <is>
          <t>4. In each capability column choose Yes, No, or Uncertain. Use Uncertain only when the source genuinely does not allow a confident decision.</t>
        </is>
      </c>
      <c r="B15" s="1" t="n"/>
      <c r="C15" s="1" t="n"/>
      <c r="D15" s="1" t="n"/>
      <c r="E15" s="1" t="n"/>
      <c r="F15" s="1" t="n"/>
      <c r="G15" s="1" t="n"/>
      <c r="H15" s="1" t="n"/>
    </row>
    <row r="16">
      <c r="A16" s="31" t="inlineStr">
        <is>
          <t>5. Record the evidence used (field/property/action and, when helpful, a short source phrase) in Evidence used. Do not copy the complete source page.</t>
        </is>
      </c>
      <c r="B16" s="1" t="n"/>
      <c r="C16" s="1" t="n"/>
      <c r="D16" s="1" t="n"/>
      <c r="E16" s="1" t="n"/>
      <c r="F16" s="1" t="n"/>
      <c r="G16" s="1" t="n"/>
      <c r="H16" s="1" t="n"/>
    </row>
    <row r="17">
      <c r="A17" s="31" t="inlineStr">
        <is>
          <t>6. Record overall confidence as High, Medium, or Low and explain ambiguous cases in Comments.</t>
        </is>
      </c>
      <c r="B17" s="1" t="n"/>
      <c r="C17" s="1" t="n"/>
      <c r="D17" s="1" t="n"/>
      <c r="E17" s="1" t="n"/>
      <c r="F17" s="1" t="n"/>
      <c r="G17" s="1" t="n"/>
      <c r="H17" s="1" t="n"/>
    </row>
    <row r="18">
      <c r="A18" s="31" t="inlineStr">
        <is>
          <t>7. Do not change the capability definitions or coding rules during annotation. Flag disagreements or unclear rules in Comments for later adjudication.</t>
        </is>
      </c>
      <c r="B18" s="1" t="n"/>
      <c r="C18" s="1" t="n"/>
      <c r="D18" s="1" t="n"/>
      <c r="E18" s="1" t="n"/>
      <c r="F18" s="1" t="n"/>
      <c r="G18" s="1" t="n"/>
      <c r="H18" s="1" t="n"/>
    </row>
    <row r="19">
      <c r="A19" s="27" t="n"/>
      <c r="B19" s="27" t="n"/>
      <c r="C19" s="27" t="n"/>
      <c r="D19" s="27" t="n"/>
      <c r="E19" s="27" t="n"/>
      <c r="F19" s="27" t="n"/>
      <c r="G19" s="27" t="n"/>
      <c r="H19" s="27" t="n"/>
    </row>
    <row r="20">
      <c r="A20" s="32" t="inlineStr">
        <is>
          <t>Shared coding rules</t>
        </is>
      </c>
      <c r="B20" s="1" t="n"/>
      <c r="C20" s="1" t="n"/>
      <c r="D20" s="1" t="n"/>
      <c r="E20" s="1" t="n"/>
      <c r="F20" s="1" t="n"/>
      <c r="G20" s="1" t="n"/>
      <c r="H20" s="1" t="n"/>
    </row>
    <row r="21">
      <c r="A21" s="31" t="inlineStr">
        <is>
          <t>Motion: a PIR/motion device documented as motion remains motion_detection even if middleware names the binary report 'occupancy'; true sustained presence/occupancy sensors map to occupancy_detection.</t>
        </is>
      </c>
      <c r="B21" s="1" t="n"/>
      <c r="C21" s="1" t="n"/>
      <c r="D21" s="1" t="n"/>
      <c r="E21" s="1" t="n"/>
      <c r="F21" s="1" t="n"/>
      <c r="G21" s="1" t="n"/>
      <c r="H21" s="1" t="n"/>
    </row>
    <row r="22">
      <c r="A22" s="31" t="inlineStr">
        <is>
          <t>Power vs. energy: instantaneous Watt measurements map to power_sensing; accumulated Wh/kWh measurements map to energy_consumption_sensing.</t>
        </is>
      </c>
      <c r="B22" s="1" t="n"/>
      <c r="C22" s="1" t="n"/>
      <c r="D22" s="1" t="n"/>
      <c r="E22" s="1" t="n"/>
      <c r="F22" s="1" t="n"/>
      <c r="G22" s="1" t="n"/>
      <c r="H22" s="1" t="n"/>
    </row>
    <row r="23">
      <c r="A23" s="31" t="inlineStr">
        <is>
          <t>Lock vs. door: lock/unlock maps to lock_control; physical open/closed door state maps to door_state_sensing.</t>
        </is>
      </c>
      <c r="B23" s="1" t="n"/>
      <c r="C23" s="1" t="n"/>
      <c r="D23" s="1" t="n"/>
      <c r="E23" s="1" t="n"/>
      <c r="F23" s="1" t="n"/>
      <c r="G23" s="1" t="n"/>
      <c r="H23" s="1" t="n"/>
    </row>
    <row r="24">
      <c r="A24" s="31" t="inlineStr">
        <is>
          <t>Battery: battery percentage/level supports battery_level_sensing; a low-battery flag alone does not.</t>
        </is>
      </c>
      <c r="B24" s="1" t="n"/>
      <c r="C24" s="1" t="n"/>
      <c r="D24" s="1" t="n"/>
      <c r="E24" s="1" t="n"/>
      <c r="F24" s="1" t="n"/>
      <c r="G24" s="1" t="n"/>
      <c r="H24" s="1" t="n"/>
    </row>
    <row r="25">
      <c r="A25" s="31" t="inlineStr">
        <is>
          <t>Scope: annotate only the 16 canonical capabilities listed in Coding_Manual. Ignore functionality outside that vocabulary.</t>
        </is>
      </c>
      <c r="B25" s="1" t="n"/>
      <c r="C25" s="1" t="n"/>
      <c r="D25" s="1" t="n"/>
      <c r="E25" s="1" t="n"/>
      <c r="F25" s="1" t="n"/>
      <c r="G25" s="1" t="n"/>
      <c r="H25" s="1" t="n"/>
    </row>
    <row r="26">
      <c r="A26" s="27" t="n"/>
      <c r="B26" s="27" t="n"/>
      <c r="C26" s="27" t="n"/>
      <c r="D26" s="27" t="n"/>
      <c r="E26" s="27" t="n"/>
      <c r="F26" s="27" t="n"/>
      <c r="G26" s="27" t="n"/>
      <c r="H26" s="27" t="n"/>
    </row>
    <row r="27">
      <c r="A27" s="33" t="inlineStr">
        <is>
          <t>Important blinding note</t>
        </is>
      </c>
      <c r="B27" s="1" t="n"/>
      <c r="C27" s="1" t="n"/>
      <c r="D27" s="1" t="n"/>
      <c r="E27" s="1" t="n"/>
      <c r="F27" s="1" t="n"/>
      <c r="G27" s="1" t="n"/>
      <c r="H27" s="1" t="n"/>
    </row>
    <row r="28">
      <c r="A28" s="31" t="inlineStr">
        <is>
          <t>This workbook intentionally contains no original Gold labels, no original annotation rationale, and no model/baseline predictions. Keep the second annotation independent until agreement statistics are calculated.</t>
        </is>
      </c>
      <c r="B28" s="1" t="n"/>
      <c r="C28" s="1" t="n"/>
      <c r="D28" s="1" t="n"/>
      <c r="E28" s="1" t="n"/>
      <c r="F28" s="1" t="n"/>
      <c r="G28" s="1" t="n"/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</sheetData>
  <mergeCells count="17">
    <mergeCell ref="A12:H12"/>
    <mergeCell ref="A18:H18"/>
    <mergeCell ref="A28:H29"/>
    <mergeCell ref="A21:H21"/>
    <mergeCell ref="A15:H15"/>
    <mergeCell ref="A25:H25"/>
    <mergeCell ref="A20:H20"/>
    <mergeCell ref="A24:H24"/>
    <mergeCell ref="A16:H16"/>
    <mergeCell ref="A13:H13"/>
    <mergeCell ref="A11:H11"/>
    <mergeCell ref="A14:H14"/>
    <mergeCell ref="A1:H1"/>
    <mergeCell ref="A23:H23"/>
    <mergeCell ref="A27:H27"/>
    <mergeCell ref="A22:H22"/>
    <mergeCell ref="A17:H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4" customWidth="1" min="1" max="1"/>
    <col width="54" customWidth="1" min="2" max="2"/>
    <col width="22" customWidth="1" min="3" max="3"/>
  </cols>
  <sheetData>
    <row r="1">
      <c r="A1" s="38" t="inlineStr">
        <is>
          <t>capability_id</t>
        </is>
      </c>
      <c r="B1" s="38" t="inlineStr">
        <is>
          <t>definition</t>
        </is>
      </c>
      <c r="C1" s="38" t="inlineStr">
        <is>
          <t>interaction_type</t>
        </is>
      </c>
    </row>
    <row r="2">
      <c r="A2" s="19" t="inlineStr">
        <is>
          <t>power_control</t>
        </is>
      </c>
      <c r="B2" s="19" t="inlineStr">
        <is>
          <t>Control device on/off state</t>
        </is>
      </c>
      <c r="C2" s="19" t="inlineStr">
        <is>
          <t>Action/Property</t>
        </is>
      </c>
    </row>
    <row r="3">
      <c r="A3" s="19" t="inlineStr">
        <is>
          <t>brightness_control</t>
        </is>
      </c>
      <c r="B3" s="19" t="inlineStr">
        <is>
          <t>Adjust light intensity</t>
        </is>
      </c>
      <c r="C3" s="19" t="inlineStr">
        <is>
          <t>Property/Action</t>
        </is>
      </c>
    </row>
    <row r="4">
      <c r="A4" s="19" t="inlineStr">
        <is>
          <t>color_control</t>
        </is>
      </c>
      <c r="B4" s="19" t="inlineStr">
        <is>
          <t>Adjust emitted color</t>
        </is>
      </c>
      <c r="C4" s="19" t="inlineStr">
        <is>
          <t>Property/Action</t>
        </is>
      </c>
    </row>
    <row r="5">
      <c r="A5" s="19" t="inlineStr">
        <is>
          <t>color_temperature_control</t>
        </is>
      </c>
      <c r="B5" s="19" t="inlineStr">
        <is>
          <t>Adjust white color temperature</t>
        </is>
      </c>
      <c r="C5" s="19" t="inlineStr">
        <is>
          <t>Property/Action</t>
        </is>
      </c>
    </row>
    <row r="6">
      <c r="A6" s="19" t="inlineStr">
        <is>
          <t>temperature_sensing</t>
        </is>
      </c>
      <c r="B6" s="19" t="inlineStr">
        <is>
          <t>Measure ambient/device temperature</t>
        </is>
      </c>
      <c r="C6" s="19" t="inlineStr">
        <is>
          <t>Property</t>
        </is>
      </c>
    </row>
    <row r="7">
      <c r="A7" s="19" t="inlineStr">
        <is>
          <t>humidity_sensing</t>
        </is>
      </c>
      <c r="B7" s="19" t="inlineStr">
        <is>
          <t>Measure relative humidity</t>
        </is>
      </c>
      <c r="C7" s="19" t="inlineStr">
        <is>
          <t>Property</t>
        </is>
      </c>
    </row>
    <row r="8">
      <c r="A8" s="19" t="inlineStr">
        <is>
          <t>motion_detection</t>
        </is>
      </c>
      <c r="B8" s="19" t="inlineStr">
        <is>
          <t>Detect motion/activity</t>
        </is>
      </c>
      <c r="C8" s="19" t="inlineStr">
        <is>
          <t>Event/Property</t>
        </is>
      </c>
    </row>
    <row r="9">
      <c r="A9" s="19" t="inlineStr">
        <is>
          <t>occupancy_detection</t>
        </is>
      </c>
      <c r="B9" s="19" t="inlineStr">
        <is>
          <t>Detect continuing presence/occupancy</t>
        </is>
      </c>
      <c r="C9" s="19" t="inlineStr">
        <is>
          <t>Event/Property</t>
        </is>
      </c>
    </row>
    <row r="10">
      <c r="A10" s="19" t="inlineStr">
        <is>
          <t>lock_control</t>
        </is>
      </c>
      <c r="B10" s="19" t="inlineStr">
        <is>
          <t>Lock or unlock a smart lock</t>
        </is>
      </c>
      <c r="C10" s="19" t="inlineStr">
        <is>
          <t>Action/Property</t>
        </is>
      </c>
    </row>
    <row r="11">
      <c r="A11" s="19" t="inlineStr">
        <is>
          <t>door_state_sensing</t>
        </is>
      </c>
      <c r="B11" s="19" t="inlineStr">
        <is>
          <t>Sense physical door open/closed state</t>
        </is>
      </c>
      <c r="C11" s="19" t="inlineStr">
        <is>
          <t>Property/Event</t>
        </is>
      </c>
    </row>
    <row r="12">
      <c r="A12" s="19" t="inlineStr">
        <is>
          <t>temperature_setpoint_control</t>
        </is>
      </c>
      <c r="B12" s="19" t="inlineStr">
        <is>
          <t>Read/write target temperature</t>
        </is>
      </c>
      <c r="C12" s="19" t="inlineStr">
        <is>
          <t>Property/Action</t>
        </is>
      </c>
    </row>
    <row r="13">
      <c r="A13" s="19" t="inlineStr">
        <is>
          <t>hvac_mode_control</t>
        </is>
      </c>
      <c r="B13" s="19" t="inlineStr">
        <is>
          <t>Select HVAC operating mode</t>
        </is>
      </c>
      <c r="C13" s="19" t="inlineStr">
        <is>
          <t>Property/Action</t>
        </is>
      </c>
    </row>
    <row r="14">
      <c r="A14" s="19" t="inlineStr">
        <is>
          <t>fan_control</t>
        </is>
      </c>
      <c r="B14" s="19" t="inlineStr">
        <is>
          <t>Select/control fan operating mode</t>
        </is>
      </c>
      <c r="C14" s="19" t="inlineStr">
        <is>
          <t>Property/Action</t>
        </is>
      </c>
    </row>
    <row r="15">
      <c r="A15" s="19" t="inlineStr">
        <is>
          <t>power_sensing</t>
        </is>
      </c>
      <c r="B15" s="19" t="inlineStr">
        <is>
          <t>Measure instantaneous active power</t>
        </is>
      </c>
      <c r="C15" s="19" t="inlineStr">
        <is>
          <t>Property</t>
        </is>
      </c>
    </row>
    <row r="16">
      <c r="A16" s="19" t="inlineStr">
        <is>
          <t>energy_consumption_sensing</t>
        </is>
      </c>
      <c r="B16" s="19" t="inlineStr">
        <is>
          <t>Measure accumulated electrical energy</t>
        </is>
      </c>
      <c r="C16" s="19" t="inlineStr">
        <is>
          <t>Property</t>
        </is>
      </c>
    </row>
    <row r="17">
      <c r="A17" s="19" t="inlineStr">
        <is>
          <t>battery_level_sensing</t>
        </is>
      </c>
      <c r="B17" s="19" t="inlineStr">
        <is>
          <t>Measure remaining battery level</t>
        </is>
      </c>
      <c r="C17" s="19" t="inlineStr">
        <is>
          <t>Property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4"/>
  <sheetViews>
    <sheetView workbookViewId="0">
      <pane xSplit="2" ySplit="1" topLeftCell="C2" activePane="bottomRight" state="frozen"/>
      <selection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6" customWidth="1" min="4" max="4"/>
    <col width="52" customWidth="1" min="5" max="5"/>
    <col width="38" customWidth="1" min="6" max="6"/>
    <col width="52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3" customWidth="1" min="24" max="24"/>
    <col width="42" customWidth="1" min="25" max="25"/>
    <col width="14" customWidth="1" min="26" max="26"/>
    <col width="15" customWidth="1" min="27" max="27"/>
  </cols>
  <sheetData>
    <row r="1">
      <c r="A1" s="41" t="inlineStr">
        <is>
          <t>order</t>
        </is>
      </c>
      <c r="B1" s="41" t="inlineStr">
        <is>
          <t>case_id</t>
        </is>
      </c>
      <c r="C1" s="41" t="inlineStr">
        <is>
          <t>vendor</t>
        </is>
      </c>
      <c r="D1" s="41" t="inlineStr">
        <is>
          <t>model</t>
        </is>
      </c>
      <c r="E1" s="41" t="inlineStr">
        <is>
          <t>source_url</t>
        </is>
      </c>
      <c r="F1" s="41" t="inlineStr">
        <is>
          <t>raw_features</t>
        </is>
      </c>
      <c r="G1" s="41" t="inlineStr">
        <is>
          <t>evidence_used</t>
        </is>
      </c>
      <c r="H1" s="45" t="inlineStr">
        <is>
          <t>power_control</t>
        </is>
      </c>
      <c r="I1" s="45" t="inlineStr">
        <is>
          <t>brightness_control</t>
        </is>
      </c>
      <c r="J1" s="45" t="inlineStr">
        <is>
          <t>color_control</t>
        </is>
      </c>
      <c r="K1" s="45" t="inlineStr">
        <is>
          <t>color_temperature_control</t>
        </is>
      </c>
      <c r="L1" s="45" t="inlineStr">
        <is>
          <t>temperature_sensing</t>
        </is>
      </c>
      <c r="M1" s="45" t="inlineStr">
        <is>
          <t>humidity_sensing</t>
        </is>
      </c>
      <c r="N1" s="45" t="inlineStr">
        <is>
          <t>motion_detection</t>
        </is>
      </c>
      <c r="O1" s="45" t="inlineStr">
        <is>
          <t>occupancy_detection</t>
        </is>
      </c>
      <c r="P1" s="45" t="inlineStr">
        <is>
          <t>lock_control</t>
        </is>
      </c>
      <c r="Q1" s="45" t="inlineStr">
        <is>
          <t>door_state_sensing</t>
        </is>
      </c>
      <c r="R1" s="45" t="inlineStr">
        <is>
          <t>temperature_setpoint_control</t>
        </is>
      </c>
      <c r="S1" s="45" t="inlineStr">
        <is>
          <t>hvac_mode_control</t>
        </is>
      </c>
      <c r="T1" s="45" t="inlineStr">
        <is>
          <t>fan_control</t>
        </is>
      </c>
      <c r="U1" s="45" t="inlineStr">
        <is>
          <t>power_sensing</t>
        </is>
      </c>
      <c r="V1" s="45" t="inlineStr">
        <is>
          <t>energy_consumption_sensing</t>
        </is>
      </c>
      <c r="W1" s="45" t="inlineStr">
        <is>
          <t>battery_level_sensing</t>
        </is>
      </c>
      <c r="X1" s="48" t="inlineStr">
        <is>
          <t>confidence</t>
        </is>
      </c>
      <c r="Y1" s="48" t="inlineStr">
        <is>
          <t>comments</t>
        </is>
      </c>
      <c r="Z1" s="48" t="inlineStr">
        <is>
          <t>selected_count</t>
        </is>
      </c>
      <c r="AA1" s="48" t="inlineStr">
        <is>
          <t>uncertain_count</t>
        </is>
      </c>
    </row>
    <row r="2">
      <c r="A2" s="27" t="n">
        <v>1</v>
      </c>
      <c r="B2" s="27" t="inlineStr">
        <is>
          <t>M04</t>
        </is>
      </c>
      <c r="C2" s="27" t="inlineStr">
        <is>
          <t>Third Reality</t>
        </is>
      </c>
      <c r="D2" s="27" t="inlineStr">
        <is>
          <t>3RPS01083Z</t>
        </is>
      </c>
      <c r="E2" s="27" t="inlineStr">
        <is>
          <t>https://www.zigbee2mqtt.io/devices/3RPS01083Z.html</t>
        </is>
      </c>
      <c r="F2" s="27" t="inlineStr">
        <is>
          <t>occupancy; battery</t>
        </is>
      </c>
      <c r="G2" s="27" t="inlineStr">
        <is>
          <t>Z2M: 'Smart presence sensor R2'; occupancy binary ('detected occupancy'); battery % 0-100.</t>
        </is>
      </c>
      <c r="H2" s="27" t="inlineStr">
        <is>
          <t>No</t>
        </is>
      </c>
      <c r="I2" s="27" t="inlineStr">
        <is>
          <t>No</t>
        </is>
      </c>
      <c r="J2" s="27" t="inlineStr">
        <is>
          <t>No</t>
        </is>
      </c>
      <c r="K2" s="27" t="inlineStr">
        <is>
          <t>No</t>
        </is>
      </c>
      <c r="L2" s="27" t="inlineStr">
        <is>
          <t>No</t>
        </is>
      </c>
      <c r="M2" s="27" t="inlineStr">
        <is>
          <t>No</t>
        </is>
      </c>
      <c r="N2" s="27" t="inlineStr">
        <is>
          <t>No</t>
        </is>
      </c>
      <c r="O2" s="27" t="inlineStr">
        <is>
          <t>Yes</t>
        </is>
      </c>
      <c r="P2" s="27" t="inlineStr">
        <is>
          <t>No</t>
        </is>
      </c>
      <c r="Q2" s="27" t="inlineStr">
        <is>
          <t>No</t>
        </is>
      </c>
      <c r="R2" s="27" t="inlineStr">
        <is>
          <t>No</t>
        </is>
      </c>
      <c r="S2" s="27" t="inlineStr">
        <is>
          <t>No</t>
        </is>
      </c>
      <c r="T2" s="27" t="inlineStr">
        <is>
          <t>No</t>
        </is>
      </c>
      <c r="U2" s="27" t="inlineStr">
        <is>
          <t>No</t>
        </is>
      </c>
      <c r="V2" s="27" t="inlineStr">
        <is>
          <t>No</t>
        </is>
      </c>
      <c r="W2" s="27" t="inlineStr">
        <is>
          <t>Yes</t>
        </is>
      </c>
      <c r="X2" s="27" t="inlineStr">
        <is>
          <t>Medium</t>
        </is>
      </c>
      <c r="Y2" s="27" t="inlineStr">
        <is>
          <t>Page calls it a presence sensor and exposes only 'occupancy'; no PIR/motion wording, so motion_detection=No under the shared rule.</t>
        </is>
      </c>
      <c r="Z2" s="27">
        <f>COUNTIF(H2:W2,"Yes")</f>
        <v/>
      </c>
      <c r="AA2" s="27">
        <f>COUNTIF(H2:W2,"Uncertain")</f>
        <v/>
      </c>
    </row>
    <row r="3">
      <c r="A3" s="27" t="n">
        <v>2</v>
      </c>
      <c r="B3" s="27" t="inlineStr">
        <is>
          <t>L05</t>
        </is>
      </c>
      <c r="C3" s="27" t="inlineStr">
        <is>
          <t>Lidl</t>
        </is>
      </c>
      <c r="D3" s="27" t="inlineStr">
        <is>
          <t>14148906L</t>
        </is>
      </c>
      <c r="E3" s="27" t="inlineStr">
        <is>
          <t>https://www.zigbee2mqtt.io/devices/14148906L.html</t>
        </is>
      </c>
      <c r="F3" s="27" t="inlineStr">
        <is>
          <t>state; brightness; color_temp; color_xy</t>
        </is>
      </c>
      <c r="G3" s="27" t="inlineStr">
        <is>
          <t>state ON/OFF; brightness 0-254; color_temp (mired); color_xy. Livarno Lux RGB+CCT light.</t>
        </is>
      </c>
      <c r="H3" s="27" t="inlineStr">
        <is>
          <t>Yes</t>
        </is>
      </c>
      <c r="I3" s="27" t="inlineStr">
        <is>
          <t>Yes</t>
        </is>
      </c>
      <c r="J3" s="27" t="inlineStr">
        <is>
          <t>Yes</t>
        </is>
      </c>
      <c r="K3" s="27" t="inlineStr">
        <is>
          <t>Yes</t>
        </is>
      </c>
      <c r="L3" s="27" t="inlineStr">
        <is>
          <t>No</t>
        </is>
      </c>
      <c r="M3" s="27" t="inlineStr">
        <is>
          <t>No</t>
        </is>
      </c>
      <c r="N3" s="27" t="inlineStr">
        <is>
          <t>No</t>
        </is>
      </c>
      <c r="O3" s="27" t="inlineStr">
        <is>
          <t>No</t>
        </is>
      </c>
      <c r="P3" s="27" t="inlineStr">
        <is>
          <t>No</t>
        </is>
      </c>
      <c r="Q3" s="27" t="inlineStr">
        <is>
          <t>No</t>
        </is>
      </c>
      <c r="R3" s="27" t="inlineStr">
        <is>
          <t>No</t>
        </is>
      </c>
      <c r="S3" s="27" t="inlineStr">
        <is>
          <t>No</t>
        </is>
      </c>
      <c r="T3" s="27" t="inlineStr">
        <is>
          <t>No</t>
        </is>
      </c>
      <c r="U3" s="27" t="inlineStr">
        <is>
          <t>No</t>
        </is>
      </c>
      <c r="V3" s="27" t="inlineStr">
        <is>
          <t>No</t>
        </is>
      </c>
      <c r="W3" s="27" t="inlineStr">
        <is>
          <t>No</t>
        </is>
      </c>
      <c r="X3" s="27" t="inlineStr">
        <is>
          <t>High</t>
        </is>
      </c>
      <c r="Y3" s="27" t="n"/>
      <c r="Z3" s="27">
        <f>COUNTIF(H3:W3,"Yes")</f>
        <v/>
      </c>
      <c r="AA3" s="27">
        <f>COUNTIF(H3:W3,"Uncertain")</f>
        <v/>
      </c>
    </row>
    <row r="4">
      <c r="A4" s="27" t="n">
        <v>3</v>
      </c>
      <c r="B4" s="27" t="inlineStr">
        <is>
          <t>P06</t>
        </is>
      </c>
      <c r="C4" s="27" t="inlineStr">
        <is>
          <t>SONOFF</t>
        </is>
      </c>
      <c r="D4" s="27" t="inlineStr">
        <is>
          <t>S60ZBTPF</t>
        </is>
      </c>
      <c r="E4" s="27" t="inlineStr">
        <is>
          <t>https://www.zigbee2mqtt.io/devices/S60ZBTPF.html</t>
        </is>
      </c>
      <c r="F4" s="27" t="inlineStr">
        <is>
          <t>state; power; energy</t>
        </is>
      </c>
      <c r="G4" s="27" t="inlineStr">
        <is>
          <t>state ON/OFF; power (W, 'Active power'); energy (kWh, 'Total consumed energy').</t>
        </is>
      </c>
      <c r="H4" s="27" t="inlineStr">
        <is>
          <t>Yes</t>
        </is>
      </c>
      <c r="I4" s="27" t="inlineStr">
        <is>
          <t>No</t>
        </is>
      </c>
      <c r="J4" s="27" t="inlineStr">
        <is>
          <t>No</t>
        </is>
      </c>
      <c r="K4" s="27" t="inlineStr">
        <is>
          <t>No</t>
        </is>
      </c>
      <c r="L4" s="27" t="inlineStr">
        <is>
          <t>No</t>
        </is>
      </c>
      <c r="M4" s="27" t="inlineStr">
        <is>
          <t>No</t>
        </is>
      </c>
      <c r="N4" s="27" t="inlineStr">
        <is>
          <t>No</t>
        </is>
      </c>
      <c r="O4" s="27" t="inlineStr">
        <is>
          <t>No</t>
        </is>
      </c>
      <c r="P4" s="27" t="inlineStr">
        <is>
          <t>No</t>
        </is>
      </c>
      <c r="Q4" s="27" t="inlineStr">
        <is>
          <t>No</t>
        </is>
      </c>
      <c r="R4" s="27" t="inlineStr">
        <is>
          <t>No</t>
        </is>
      </c>
      <c r="S4" s="27" t="inlineStr">
        <is>
          <t>No</t>
        </is>
      </c>
      <c r="T4" s="27" t="inlineStr">
        <is>
          <t>No</t>
        </is>
      </c>
      <c r="U4" s="27" t="inlineStr">
        <is>
          <t>Yes</t>
        </is>
      </c>
      <c r="V4" s="27" t="inlineStr">
        <is>
          <t>Yes</t>
        </is>
      </c>
      <c r="W4" s="27" t="inlineStr">
        <is>
          <t>No</t>
        </is>
      </c>
      <c r="X4" s="27" t="inlineStr">
        <is>
          <t>High</t>
        </is>
      </c>
      <c r="Y4" s="27" t="n"/>
      <c r="Z4" s="27">
        <f>COUNTIF(H4:W4,"Yes")</f>
        <v/>
      </c>
      <c r="AA4" s="27">
        <f>COUNTIF(H4:W4,"Uncertain")</f>
        <v/>
      </c>
    </row>
    <row r="5">
      <c r="A5" s="27" t="n">
        <v>4</v>
      </c>
      <c r="B5" s="27" t="inlineStr">
        <is>
          <t>K03</t>
        </is>
      </c>
      <c r="C5" s="27" t="inlineStr">
        <is>
          <t>Yale</t>
        </is>
      </c>
      <c r="D5" s="27" t="inlineStr">
        <is>
          <t>LIA</t>
        </is>
      </c>
      <c r="E5" s="27" t="inlineStr">
        <is>
          <t>https://www.zigbee2mqtt.io/devices/LIA.html</t>
        </is>
      </c>
      <c r="F5" s="27" t="inlineStr">
        <is>
          <t>state(LOCK/UNLOCK); lock_state; battery</t>
        </is>
      </c>
      <c r="G5" s="27" t="inlineStr">
        <is>
          <t>state LOCK/UNLOCK; lock_state locked/unlocked; battery % 0-100 (battery_low flag ignored).</t>
        </is>
      </c>
      <c r="H5" s="27" t="inlineStr">
        <is>
          <t>No</t>
        </is>
      </c>
      <c r="I5" s="27" t="inlineStr">
        <is>
          <t>No</t>
        </is>
      </c>
      <c r="J5" s="27" t="inlineStr">
        <is>
          <t>No</t>
        </is>
      </c>
      <c r="K5" s="27" t="inlineStr">
        <is>
          <t>No</t>
        </is>
      </c>
      <c r="L5" s="27" t="inlineStr">
        <is>
          <t>No</t>
        </is>
      </c>
      <c r="M5" s="27" t="inlineStr">
        <is>
          <t>No</t>
        </is>
      </c>
      <c r="N5" s="27" t="inlineStr">
        <is>
          <t>No</t>
        </is>
      </c>
      <c r="O5" s="27" t="inlineStr">
        <is>
          <t>No</t>
        </is>
      </c>
      <c r="P5" s="27" t="inlineStr">
        <is>
          <t>Yes</t>
        </is>
      </c>
      <c r="Q5" s="27" t="inlineStr">
        <is>
          <t>No</t>
        </is>
      </c>
      <c r="R5" s="27" t="inlineStr">
        <is>
          <t>No</t>
        </is>
      </c>
      <c r="S5" s="27" t="inlineStr">
        <is>
          <t>No</t>
        </is>
      </c>
      <c r="T5" s="27" t="inlineStr">
        <is>
          <t>No</t>
        </is>
      </c>
      <c r="U5" s="27" t="inlineStr">
        <is>
          <t>No</t>
        </is>
      </c>
      <c r="V5" s="27" t="inlineStr">
        <is>
          <t>No</t>
        </is>
      </c>
      <c r="W5" s="27" t="inlineStr">
        <is>
          <t>Yes</t>
        </is>
      </c>
      <c r="X5" s="27" t="inlineStr">
        <is>
          <t>High</t>
        </is>
      </c>
      <c r="Y5" s="27" t="n"/>
      <c r="Z5" s="27">
        <f>COUNTIF(H5:W5,"Yes")</f>
        <v/>
      </c>
      <c r="AA5" s="27">
        <f>COUNTIF(H5:W5,"Uncertain")</f>
        <v/>
      </c>
    </row>
    <row r="6">
      <c r="A6" s="27" t="n">
        <v>5</v>
      </c>
      <c r="B6" s="27" t="inlineStr">
        <is>
          <t>T06</t>
        </is>
      </c>
      <c r="C6" s="27" t="inlineStr">
        <is>
          <t>Salus Controls</t>
        </is>
      </c>
      <c r="D6" s="27" t="inlineStr">
        <is>
          <t>FC600</t>
        </is>
      </c>
      <c r="E6" s="27" t="inlineStr">
        <is>
          <t>https://www.zigbee2mqtt.io/devices/FC600.html</t>
        </is>
      </c>
      <c r="F6" s="27" t="inlineStr">
        <is>
          <t>local_temperature; occupied_heating_setpoint; system_mode; fan_mode</t>
        </is>
      </c>
      <c r="G6" s="27" t="inlineStr">
        <is>
          <t>local_temperature (°C); occupied_heating_setpoint 5-40; system_mode off/heat/cool/auto; fan_mode; 'Fan coil thermostat'.</t>
        </is>
      </c>
      <c r="H6" s="27" t="inlineStr">
        <is>
          <t>No</t>
        </is>
      </c>
      <c r="I6" s="27" t="inlineStr">
        <is>
          <t>No</t>
        </is>
      </c>
      <c r="J6" s="27" t="inlineStr">
        <is>
          <t>No</t>
        </is>
      </c>
      <c r="K6" s="27" t="inlineStr">
        <is>
          <t>No</t>
        </is>
      </c>
      <c r="L6" s="27" t="inlineStr">
        <is>
          <t>Yes</t>
        </is>
      </c>
      <c r="M6" s="27" t="inlineStr">
        <is>
          <t>No</t>
        </is>
      </c>
      <c r="N6" s="27" t="inlineStr">
        <is>
          <t>No</t>
        </is>
      </c>
      <c r="O6" s="27" t="inlineStr">
        <is>
          <t>No</t>
        </is>
      </c>
      <c r="P6" s="27" t="inlineStr">
        <is>
          <t>No</t>
        </is>
      </c>
      <c r="Q6" s="27" t="inlineStr">
        <is>
          <t>No</t>
        </is>
      </c>
      <c r="R6" s="27" t="inlineStr">
        <is>
          <t>Yes</t>
        </is>
      </c>
      <c r="S6" s="27" t="inlineStr">
        <is>
          <t>Yes</t>
        </is>
      </c>
      <c r="T6" s="27" t="inlineStr">
        <is>
          <t>Yes</t>
        </is>
      </c>
      <c r="U6" s="27" t="inlineStr">
        <is>
          <t>No</t>
        </is>
      </c>
      <c r="V6" s="27" t="inlineStr">
        <is>
          <t>No</t>
        </is>
      </c>
      <c r="W6" s="27" t="inlineStr">
        <is>
          <t>No</t>
        </is>
      </c>
      <c r="X6" s="27" t="inlineStr">
        <is>
          <t>Medium</t>
        </is>
      </c>
      <c r="Y6" s="27" t="inlineStr">
        <is>
          <t>fan_mode is listed as a climate feature but the page gives no type/values; marked Yes because the property is explicitly exposed. Flag for adjudication. system_mode 'off' is a mode value, not a separate on/off switch, so power_control=No.</t>
        </is>
      </c>
      <c r="Z6" s="27">
        <f>COUNTIF(H6:W6,"Yes")</f>
        <v/>
      </c>
      <c r="AA6" s="27">
        <f>COUNTIF(H6:W6,"Uncertain")</f>
        <v/>
      </c>
    </row>
    <row r="7">
      <c r="A7" s="27" t="n">
        <v>6</v>
      </c>
      <c r="B7" s="27" t="inlineStr">
        <is>
          <t>M05</t>
        </is>
      </c>
      <c r="C7" s="27" t="inlineStr">
        <is>
          <t>iHseno</t>
        </is>
      </c>
      <c r="D7" s="27" t="inlineStr">
        <is>
          <t>TS0601_human_presence</t>
        </is>
      </c>
      <c r="E7" s="27" t="inlineStr">
        <is>
          <t>https://www.zigbee2mqtt.io/devices/TS0601_human_presence.html</t>
        </is>
      </c>
      <c r="F7" s="27" t="inlineStr">
        <is>
          <t>presence; battery</t>
        </is>
      </c>
      <c r="G7" s="27" t="inlineStr">
        <is>
          <t>Human presence sensor; presence true/false ('human presence is detected'); battery % 0-100.</t>
        </is>
      </c>
      <c r="H7" s="27" t="inlineStr">
        <is>
          <t>No</t>
        </is>
      </c>
      <c r="I7" s="27" t="inlineStr">
        <is>
          <t>No</t>
        </is>
      </c>
      <c r="J7" s="27" t="inlineStr">
        <is>
          <t>No</t>
        </is>
      </c>
      <c r="K7" s="27" t="inlineStr">
        <is>
          <t>No</t>
        </is>
      </c>
      <c r="L7" s="27" t="inlineStr">
        <is>
          <t>No</t>
        </is>
      </c>
      <c r="M7" s="27" t="inlineStr">
        <is>
          <t>No</t>
        </is>
      </c>
      <c r="N7" s="27" t="inlineStr">
        <is>
          <t>No</t>
        </is>
      </c>
      <c r="O7" s="27" t="inlineStr">
        <is>
          <t>Yes</t>
        </is>
      </c>
      <c r="P7" s="27" t="inlineStr">
        <is>
          <t>No</t>
        </is>
      </c>
      <c r="Q7" s="27" t="inlineStr">
        <is>
          <t>No</t>
        </is>
      </c>
      <c r="R7" s="27" t="inlineStr">
        <is>
          <t>No</t>
        </is>
      </c>
      <c r="S7" s="27" t="inlineStr">
        <is>
          <t>No</t>
        </is>
      </c>
      <c r="T7" s="27" t="inlineStr">
        <is>
          <t>No</t>
        </is>
      </c>
      <c r="U7" s="27" t="inlineStr">
        <is>
          <t>No</t>
        </is>
      </c>
      <c r="V7" s="27" t="inlineStr">
        <is>
          <t>No</t>
        </is>
      </c>
      <c r="W7" s="27" t="inlineStr">
        <is>
          <t>Yes</t>
        </is>
      </c>
      <c r="X7" s="27" t="inlineStr">
        <is>
          <t>High</t>
        </is>
      </c>
      <c r="Y7" s="27" t="n"/>
      <c r="Z7" s="27">
        <f>COUNTIF(H7:W7,"Yes")</f>
        <v/>
      </c>
      <c r="AA7" s="27">
        <f>COUNTIF(H7:W7,"Uncertain")</f>
        <v/>
      </c>
    </row>
    <row r="8">
      <c r="A8" s="27" t="n">
        <v>7</v>
      </c>
      <c r="B8" s="27" t="inlineStr">
        <is>
          <t>P05</t>
        </is>
      </c>
      <c r="C8" s="27" t="inlineStr">
        <is>
          <t>Bosch</t>
        </is>
      </c>
      <c r="D8" s="27" t="inlineStr">
        <is>
          <t>BSP-FD</t>
        </is>
      </c>
      <c r="E8" s="27" t="inlineStr">
        <is>
          <t>https://www.zigbee2mqtt.io/devices/BSP-FD.html</t>
        </is>
      </c>
      <c r="F8" s="27" t="inlineStr">
        <is>
          <t>state; power; energy</t>
        </is>
      </c>
      <c r="G8" s="27" t="inlineStr">
        <is>
          <t>Smart plug: state ON/OFF; power (W, instantaneous); energy (kWh, sum consumed).</t>
        </is>
      </c>
      <c r="H8" s="27" t="inlineStr">
        <is>
          <t>Yes</t>
        </is>
      </c>
      <c r="I8" s="27" t="inlineStr">
        <is>
          <t>No</t>
        </is>
      </c>
      <c r="J8" s="27" t="inlineStr">
        <is>
          <t>No</t>
        </is>
      </c>
      <c r="K8" s="27" t="inlineStr">
        <is>
          <t>No</t>
        </is>
      </c>
      <c r="L8" s="27" t="inlineStr">
        <is>
          <t>No</t>
        </is>
      </c>
      <c r="M8" s="27" t="inlineStr">
        <is>
          <t>No</t>
        </is>
      </c>
      <c r="N8" s="27" t="inlineStr">
        <is>
          <t>No</t>
        </is>
      </c>
      <c r="O8" s="27" t="inlineStr">
        <is>
          <t>No</t>
        </is>
      </c>
      <c r="P8" s="27" t="inlineStr">
        <is>
          <t>No</t>
        </is>
      </c>
      <c r="Q8" s="27" t="inlineStr">
        <is>
          <t>No</t>
        </is>
      </c>
      <c r="R8" s="27" t="inlineStr">
        <is>
          <t>No</t>
        </is>
      </c>
      <c r="S8" s="27" t="inlineStr">
        <is>
          <t>No</t>
        </is>
      </c>
      <c r="T8" s="27" t="inlineStr">
        <is>
          <t>No</t>
        </is>
      </c>
      <c r="U8" s="27" t="inlineStr">
        <is>
          <t>Yes</t>
        </is>
      </c>
      <c r="V8" s="27" t="inlineStr">
        <is>
          <t>Yes</t>
        </is>
      </c>
      <c r="W8" s="27" t="inlineStr">
        <is>
          <t>No</t>
        </is>
      </c>
      <c r="X8" s="27" t="inlineStr">
        <is>
          <t>Medium</t>
        </is>
      </c>
      <c r="Y8" s="27" t="inlineStr">
        <is>
          <t>led_brightness (0-100%) controls the plug's indicator LED, not a light function, so brightness_control=No. Flag for adjudication.</t>
        </is>
      </c>
      <c r="Z8" s="27">
        <f>COUNTIF(H8:W8,"Yes")</f>
        <v/>
      </c>
      <c r="AA8" s="27">
        <f>COUNTIF(H8:W8,"Uncertain")</f>
        <v/>
      </c>
    </row>
    <row r="9">
      <c r="A9" s="27" t="n">
        <v>8</v>
      </c>
      <c r="B9" s="27" t="inlineStr">
        <is>
          <t>T02</t>
        </is>
      </c>
      <c r="C9" s="27" t="inlineStr">
        <is>
          <t>Sikom</t>
        </is>
      </c>
      <c r="D9" s="27" t="inlineStr">
        <is>
          <t>300-9715V10</t>
        </is>
      </c>
      <c r="E9" s="27" t="inlineStr">
        <is>
          <t>https://www.zigbee2mqtt.io/devices/300-9715V10.html</t>
        </is>
      </c>
      <c r="F9" s="27" t="inlineStr">
        <is>
          <t>local_temperature; occupied_heating_setpoint; system_mode; state</t>
        </is>
      </c>
      <c r="G9" s="27" t="inlineStr">
        <is>
          <t>Thermostat: state ON/OFF; local_temperature; occupied_heating_setpoint 5-40; system_mode off/auto/heat.</t>
        </is>
      </c>
      <c r="H9" s="27" t="inlineStr">
        <is>
          <t>Yes</t>
        </is>
      </c>
      <c r="I9" s="27" t="inlineStr">
        <is>
          <t>No</t>
        </is>
      </c>
      <c r="J9" s="27" t="inlineStr">
        <is>
          <t>No</t>
        </is>
      </c>
      <c r="K9" s="27" t="inlineStr">
        <is>
          <t>No</t>
        </is>
      </c>
      <c r="L9" s="27" t="inlineStr">
        <is>
          <t>Yes</t>
        </is>
      </c>
      <c r="M9" s="27" t="inlineStr">
        <is>
          <t>No</t>
        </is>
      </c>
      <c r="N9" s="27" t="inlineStr">
        <is>
          <t>No</t>
        </is>
      </c>
      <c r="O9" s="27" t="inlineStr">
        <is>
          <t>No</t>
        </is>
      </c>
      <c r="P9" s="27" t="inlineStr">
        <is>
          <t>No</t>
        </is>
      </c>
      <c r="Q9" s="27" t="inlineStr">
        <is>
          <t>No</t>
        </is>
      </c>
      <c r="R9" s="27" t="inlineStr">
        <is>
          <t>Yes</t>
        </is>
      </c>
      <c r="S9" s="27" t="inlineStr">
        <is>
          <t>Yes</t>
        </is>
      </c>
      <c r="T9" s="27" t="inlineStr">
        <is>
          <t>No</t>
        </is>
      </c>
      <c r="U9" s="27" t="inlineStr">
        <is>
          <t>No</t>
        </is>
      </c>
      <c r="V9" s="27" t="inlineStr">
        <is>
          <t>No</t>
        </is>
      </c>
      <c r="W9" s="27" t="inlineStr">
        <is>
          <t>No</t>
        </is>
      </c>
      <c r="X9" s="27" t="inlineStr">
        <is>
          <t>High</t>
        </is>
      </c>
      <c r="Y9" s="27" t="n"/>
      <c r="Z9" s="27">
        <f>COUNTIF(H9:W9,"Yes")</f>
        <v/>
      </c>
      <c r="AA9" s="27">
        <f>COUNTIF(H9:W9,"Uncertain")</f>
        <v/>
      </c>
    </row>
    <row r="10">
      <c r="A10" s="27" t="n">
        <v>9</v>
      </c>
      <c r="B10" s="27" t="inlineStr">
        <is>
          <t>E03</t>
        </is>
      </c>
      <c r="C10" s="27" t="inlineStr">
        <is>
          <t>Aqara</t>
        </is>
      </c>
      <c r="D10" s="27" t="inlineStr">
        <is>
          <t>WSDCGQ11LM</t>
        </is>
      </c>
      <c r="E10" s="27" t="inlineStr">
        <is>
          <t>https://www.zigbee2mqtt.io/devices/WSDCGQ11LM.html</t>
        </is>
      </c>
      <c r="F10" s="27" t="inlineStr">
        <is>
          <t>temperature; humidity; battery</t>
        </is>
      </c>
      <c r="G10" s="27" t="inlineStr">
        <is>
          <t>temperature (°C); humidity (%); battery % 0-100 (pressure/voltage ignored).</t>
        </is>
      </c>
      <c r="H10" s="27" t="inlineStr">
        <is>
          <t>No</t>
        </is>
      </c>
      <c r="I10" s="27" t="inlineStr">
        <is>
          <t>No</t>
        </is>
      </c>
      <c r="J10" s="27" t="inlineStr">
        <is>
          <t>No</t>
        </is>
      </c>
      <c r="K10" s="27" t="inlineStr">
        <is>
          <t>No</t>
        </is>
      </c>
      <c r="L10" s="27" t="inlineStr">
        <is>
          <t>Yes</t>
        </is>
      </c>
      <c r="M10" s="27" t="inlineStr">
        <is>
          <t>Yes</t>
        </is>
      </c>
      <c r="N10" s="27" t="inlineStr">
        <is>
          <t>No</t>
        </is>
      </c>
      <c r="O10" s="27" t="inlineStr">
        <is>
          <t>No</t>
        </is>
      </c>
      <c r="P10" s="27" t="inlineStr">
        <is>
          <t>No</t>
        </is>
      </c>
      <c r="Q10" s="27" t="inlineStr">
        <is>
          <t>No</t>
        </is>
      </c>
      <c r="R10" s="27" t="inlineStr">
        <is>
          <t>No</t>
        </is>
      </c>
      <c r="S10" s="27" t="inlineStr">
        <is>
          <t>No</t>
        </is>
      </c>
      <c r="T10" s="27" t="inlineStr">
        <is>
          <t>No</t>
        </is>
      </c>
      <c r="U10" s="27" t="inlineStr">
        <is>
          <t>No</t>
        </is>
      </c>
      <c r="V10" s="27" t="inlineStr">
        <is>
          <t>No</t>
        </is>
      </c>
      <c r="W10" s="27" t="inlineStr">
        <is>
          <t>Yes</t>
        </is>
      </c>
      <c r="X10" s="27" t="inlineStr">
        <is>
          <t>High</t>
        </is>
      </c>
      <c r="Y10" s="27" t="n"/>
      <c r="Z10" s="27">
        <f>COUNTIF(H10:W10,"Yes")</f>
        <v/>
      </c>
      <c r="AA10" s="27">
        <f>COUNTIF(H10:W10,"Uncertain")</f>
        <v/>
      </c>
    </row>
    <row r="11">
      <c r="A11" s="27" t="n">
        <v>10</v>
      </c>
      <c r="B11" s="27" t="inlineStr">
        <is>
          <t>L06</t>
        </is>
      </c>
      <c r="C11" s="27" t="inlineStr">
        <is>
          <t>Innr</t>
        </is>
      </c>
      <c r="D11" s="27" t="inlineStr">
        <is>
          <t>OFL 122 C</t>
        </is>
      </c>
      <c r="E11" s="27" t="inlineStr">
        <is>
          <t>https://www.zigbee2mqtt.io/devices/OFL_122_C.html</t>
        </is>
      </c>
      <c r="F11" s="27" t="inlineStr">
        <is>
          <t>state; brightness; color_temp; color_xy; color_hs</t>
        </is>
      </c>
      <c r="G11" s="27" t="inlineStr">
        <is>
          <t>Colour LED strip RGBW: state; brightness 0-254; color_temp; color_xy; color_hs.</t>
        </is>
      </c>
      <c r="H11" s="27" t="inlineStr">
        <is>
          <t>Yes</t>
        </is>
      </c>
      <c r="I11" s="27" t="inlineStr">
        <is>
          <t>Yes</t>
        </is>
      </c>
      <c r="J11" s="27" t="inlineStr">
        <is>
          <t>Yes</t>
        </is>
      </c>
      <c r="K11" s="27" t="inlineStr">
        <is>
          <t>Yes</t>
        </is>
      </c>
      <c r="L11" s="27" t="inlineStr">
        <is>
          <t>No</t>
        </is>
      </c>
      <c r="M11" s="27" t="inlineStr">
        <is>
          <t>No</t>
        </is>
      </c>
      <c r="N11" s="27" t="inlineStr">
        <is>
          <t>No</t>
        </is>
      </c>
      <c r="O11" s="27" t="inlineStr">
        <is>
          <t>No</t>
        </is>
      </c>
      <c r="P11" s="27" t="inlineStr">
        <is>
          <t>No</t>
        </is>
      </c>
      <c r="Q11" s="27" t="inlineStr">
        <is>
          <t>No</t>
        </is>
      </c>
      <c r="R11" s="27" t="inlineStr">
        <is>
          <t>No</t>
        </is>
      </c>
      <c r="S11" s="27" t="inlineStr">
        <is>
          <t>No</t>
        </is>
      </c>
      <c r="T11" s="27" t="inlineStr">
        <is>
          <t>No</t>
        </is>
      </c>
      <c r="U11" s="27" t="inlineStr">
        <is>
          <t>No</t>
        </is>
      </c>
      <c r="V11" s="27" t="inlineStr">
        <is>
          <t>No</t>
        </is>
      </c>
      <c r="W11" s="27" t="inlineStr">
        <is>
          <t>No</t>
        </is>
      </c>
      <c r="X11" s="27" t="inlineStr">
        <is>
          <t>High</t>
        </is>
      </c>
      <c r="Y11" s="27" t="n"/>
      <c r="Z11" s="27">
        <f>COUNTIF(H11:W11,"Yes")</f>
        <v/>
      </c>
      <c r="AA11" s="27">
        <f>COUNTIF(H11:W11,"Uncertain")</f>
        <v/>
      </c>
    </row>
    <row r="12">
      <c r="A12" s="27" t="n">
        <v>11</v>
      </c>
      <c r="B12" s="27" t="inlineStr">
        <is>
          <t>M01</t>
        </is>
      </c>
      <c r="C12" s="27" t="inlineStr">
        <is>
          <t>SONOFF</t>
        </is>
      </c>
      <c r="D12" s="27" t="inlineStr">
        <is>
          <t>SNZB-03P</t>
        </is>
      </c>
      <c r="E12" s="27" t="inlineStr">
        <is>
          <t>https://www.zigbee2mqtt.io/devices/SNZB-03P.html</t>
        </is>
      </c>
      <c r="F12" s="27" t="inlineStr">
        <is>
          <t>occupancy; battery</t>
        </is>
      </c>
      <c r="G12" s="27" t="inlineStr">
        <is>
          <t>'Zigbee PIR sensor'; occupancy binary; motion_timeout; battery % 0-100.</t>
        </is>
      </c>
      <c r="H12" s="27" t="inlineStr">
        <is>
          <t>No</t>
        </is>
      </c>
      <c r="I12" s="27" t="inlineStr">
        <is>
          <t>No</t>
        </is>
      </c>
      <c r="J12" s="27" t="inlineStr">
        <is>
          <t>No</t>
        </is>
      </c>
      <c r="K12" s="27" t="inlineStr">
        <is>
          <t>No</t>
        </is>
      </c>
      <c r="L12" s="27" t="inlineStr">
        <is>
          <t>No</t>
        </is>
      </c>
      <c r="M12" s="27" t="inlineStr">
        <is>
          <t>No</t>
        </is>
      </c>
      <c r="N12" s="27" t="inlineStr">
        <is>
          <t>Yes</t>
        </is>
      </c>
      <c r="O12" s="27" t="inlineStr">
        <is>
          <t>No</t>
        </is>
      </c>
      <c r="P12" s="27" t="inlineStr">
        <is>
          <t>No</t>
        </is>
      </c>
      <c r="Q12" s="27" t="inlineStr">
        <is>
          <t>No</t>
        </is>
      </c>
      <c r="R12" s="27" t="inlineStr">
        <is>
          <t>No</t>
        </is>
      </c>
      <c r="S12" s="27" t="inlineStr">
        <is>
          <t>No</t>
        </is>
      </c>
      <c r="T12" s="27" t="inlineStr">
        <is>
          <t>No</t>
        </is>
      </c>
      <c r="U12" s="27" t="inlineStr">
        <is>
          <t>No</t>
        </is>
      </c>
      <c r="V12" s="27" t="inlineStr">
        <is>
          <t>No</t>
        </is>
      </c>
      <c r="W12" s="27" t="inlineStr">
        <is>
          <t>Yes</t>
        </is>
      </c>
      <c r="X12" s="27" t="inlineStr">
        <is>
          <t>High</t>
        </is>
      </c>
      <c r="Y12" s="27" t="inlineStr">
        <is>
          <t>Documented as PIR sensor; the 'occupancy' field is the middleware name for the motion report, so motion_detection=Yes, occupancy_detection=No per shared rule.</t>
        </is>
      </c>
      <c r="Z12" s="27">
        <f>COUNTIF(H12:W12,"Yes")</f>
        <v/>
      </c>
      <c r="AA12" s="27">
        <f>COUNTIF(H12:W12,"Uncertain")</f>
        <v/>
      </c>
    </row>
    <row r="13">
      <c r="A13" s="27" t="n">
        <v>12</v>
      </c>
      <c r="B13" s="27" t="inlineStr">
        <is>
          <t>K06</t>
        </is>
      </c>
      <c r="C13" s="27" t="inlineStr">
        <is>
          <t>Heimgard Technologies</t>
        </is>
      </c>
      <c r="D13" s="27" t="inlineStr">
        <is>
          <t>HT-SLM-3</t>
        </is>
      </c>
      <c r="E13" s="27" t="inlineStr">
        <is>
          <t>https://www.zigbee2mqtt.io/devices/HT-SLM-3.html</t>
        </is>
      </c>
      <c r="F13" s="27" t="inlineStr">
        <is>
          <t>lock; battery</t>
        </is>
      </c>
      <c r="G13" s="27" t="inlineStr">
        <is>
          <t>Entry (PIN/RFID) door lock: state LOCK/UNLOCK; lock_state; battery % 0-100.</t>
        </is>
      </c>
      <c r="H13" s="27" t="inlineStr">
        <is>
          <t>No</t>
        </is>
      </c>
      <c r="I13" s="27" t="inlineStr">
        <is>
          <t>No</t>
        </is>
      </c>
      <c r="J13" s="27" t="inlineStr">
        <is>
          <t>No</t>
        </is>
      </c>
      <c r="K13" s="27" t="inlineStr">
        <is>
          <t>No</t>
        </is>
      </c>
      <c r="L13" s="27" t="inlineStr">
        <is>
          <t>No</t>
        </is>
      </c>
      <c r="M13" s="27" t="inlineStr">
        <is>
          <t>No</t>
        </is>
      </c>
      <c r="N13" s="27" t="inlineStr">
        <is>
          <t>No</t>
        </is>
      </c>
      <c r="O13" s="27" t="inlineStr">
        <is>
          <t>No</t>
        </is>
      </c>
      <c r="P13" s="27" t="inlineStr">
        <is>
          <t>Yes</t>
        </is>
      </c>
      <c r="Q13" s="27" t="inlineStr">
        <is>
          <t>No</t>
        </is>
      </c>
      <c r="R13" s="27" t="inlineStr">
        <is>
          <t>No</t>
        </is>
      </c>
      <c r="S13" s="27" t="inlineStr">
        <is>
          <t>No</t>
        </is>
      </c>
      <c r="T13" s="27" t="inlineStr">
        <is>
          <t>No</t>
        </is>
      </c>
      <c r="U13" s="27" t="inlineStr">
        <is>
          <t>No</t>
        </is>
      </c>
      <c r="V13" s="27" t="inlineStr">
        <is>
          <t>No</t>
        </is>
      </c>
      <c r="W13" s="27" t="inlineStr">
        <is>
          <t>Yes</t>
        </is>
      </c>
      <c r="X13" s="27" t="inlineStr">
        <is>
          <t>High</t>
        </is>
      </c>
      <c r="Y13" s="27" t="n"/>
      <c r="Z13" s="27">
        <f>COUNTIF(H13:W13,"Yes")</f>
        <v/>
      </c>
      <c r="AA13" s="27">
        <f>COUNTIF(H13:W13,"Uncertain")</f>
        <v/>
      </c>
    </row>
    <row r="14">
      <c r="A14" s="27" t="n">
        <v>13</v>
      </c>
      <c r="B14" s="27" t="inlineStr">
        <is>
          <t>M03</t>
        </is>
      </c>
      <c r="C14" s="27" t="inlineStr">
        <is>
          <t>TP-Link</t>
        </is>
      </c>
      <c r="D14" s="27" t="inlineStr">
        <is>
          <t>MS100</t>
        </is>
      </c>
      <c r="E14" s="27" t="inlineStr">
        <is>
          <t>https://www.zigbee2mqtt.io/devices/MS100.html</t>
        </is>
      </c>
      <c r="F14" s="27" t="inlineStr">
        <is>
          <t>occupancy; battery</t>
        </is>
      </c>
      <c r="G14" s="27" t="inlineStr">
        <is>
          <t>'Smart motion sensor'; occupancy binary ('detected occupancy'); battery % 0-100; battery_low/tamper ignored.</t>
        </is>
      </c>
      <c r="H14" s="27" t="inlineStr">
        <is>
          <t>No</t>
        </is>
      </c>
      <c r="I14" s="27" t="inlineStr">
        <is>
          <t>No</t>
        </is>
      </c>
      <c r="J14" s="27" t="inlineStr">
        <is>
          <t>No</t>
        </is>
      </c>
      <c r="K14" s="27" t="inlineStr">
        <is>
          <t>No</t>
        </is>
      </c>
      <c r="L14" s="27" t="inlineStr">
        <is>
          <t>No</t>
        </is>
      </c>
      <c r="M14" s="27" t="inlineStr">
        <is>
          <t>No</t>
        </is>
      </c>
      <c r="N14" s="27" t="inlineStr">
        <is>
          <t>Yes</t>
        </is>
      </c>
      <c r="O14" s="27" t="inlineStr">
        <is>
          <t>No</t>
        </is>
      </c>
      <c r="P14" s="27" t="inlineStr">
        <is>
          <t>No</t>
        </is>
      </c>
      <c r="Q14" s="27" t="inlineStr">
        <is>
          <t>No</t>
        </is>
      </c>
      <c r="R14" s="27" t="inlineStr">
        <is>
          <t>No</t>
        </is>
      </c>
      <c r="S14" s="27" t="inlineStr">
        <is>
          <t>No</t>
        </is>
      </c>
      <c r="T14" s="27" t="inlineStr">
        <is>
          <t>No</t>
        </is>
      </c>
      <c r="U14" s="27" t="inlineStr">
        <is>
          <t>No</t>
        </is>
      </c>
      <c r="V14" s="27" t="inlineStr">
        <is>
          <t>No</t>
        </is>
      </c>
      <c r="W14" s="27" t="inlineStr">
        <is>
          <t>Yes</t>
        </is>
      </c>
      <c r="X14" s="27" t="inlineStr">
        <is>
          <t>High</t>
        </is>
      </c>
      <c r="Y14" s="27" t="inlineStr">
        <is>
          <t>Documented as a motion sensor; 'occupancy' field treated as motion report per shared rule.</t>
        </is>
      </c>
      <c r="Z14" s="27">
        <f>COUNTIF(H14:W14,"Yes")</f>
        <v/>
      </c>
      <c r="AA14" s="27">
        <f>COUNTIF(H14:W14,"Uncertain")</f>
        <v/>
      </c>
    </row>
    <row r="15">
      <c r="A15" s="27" t="n">
        <v>14</v>
      </c>
      <c r="B15" s="27" t="inlineStr">
        <is>
          <t>M02</t>
        </is>
      </c>
      <c r="C15" s="27" t="inlineStr">
        <is>
          <t>Tuya</t>
        </is>
      </c>
      <c r="D15" s="27" t="inlineStr">
        <is>
          <t>TS0202_1</t>
        </is>
      </c>
      <c r="E15" s="27" t="inlineStr">
        <is>
          <t>https://www.zigbee2mqtt.io/devices/TS0202_1.html</t>
        </is>
      </c>
      <c r="F15" s="27" t="inlineStr">
        <is>
          <t>occupancy; battery</t>
        </is>
      </c>
      <c r="G15" s="27" t="inlineStr">
        <is>
          <t>'Motion sensor'; occupancy binary; occupancy_timeout option; battery % 0-100.</t>
        </is>
      </c>
      <c r="H15" s="27" t="inlineStr">
        <is>
          <t>No</t>
        </is>
      </c>
      <c r="I15" s="27" t="inlineStr">
        <is>
          <t>No</t>
        </is>
      </c>
      <c r="J15" s="27" t="inlineStr">
        <is>
          <t>No</t>
        </is>
      </c>
      <c r="K15" s="27" t="inlineStr">
        <is>
          <t>No</t>
        </is>
      </c>
      <c r="L15" s="27" t="inlineStr">
        <is>
          <t>No</t>
        </is>
      </c>
      <c r="M15" s="27" t="inlineStr">
        <is>
          <t>No</t>
        </is>
      </c>
      <c r="N15" s="27" t="inlineStr">
        <is>
          <t>Yes</t>
        </is>
      </c>
      <c r="O15" s="27" t="inlineStr">
        <is>
          <t>No</t>
        </is>
      </c>
      <c r="P15" s="27" t="inlineStr">
        <is>
          <t>No</t>
        </is>
      </c>
      <c r="Q15" s="27" t="inlineStr">
        <is>
          <t>No</t>
        </is>
      </c>
      <c r="R15" s="27" t="inlineStr">
        <is>
          <t>No</t>
        </is>
      </c>
      <c r="S15" s="27" t="inlineStr">
        <is>
          <t>No</t>
        </is>
      </c>
      <c r="T15" s="27" t="inlineStr">
        <is>
          <t>No</t>
        </is>
      </c>
      <c r="U15" s="27" t="inlineStr">
        <is>
          <t>No</t>
        </is>
      </c>
      <c r="V15" s="27" t="inlineStr">
        <is>
          <t>No</t>
        </is>
      </c>
      <c r="W15" s="27" t="inlineStr">
        <is>
          <t>Yes</t>
        </is>
      </c>
      <c r="X15" s="27" t="inlineStr">
        <is>
          <t>High</t>
        </is>
      </c>
      <c r="Y15" s="27" t="inlineStr">
        <is>
          <t>Documented as a motion sensor; 'occupancy' field treated as motion report per shared rule.</t>
        </is>
      </c>
      <c r="Z15" s="27">
        <f>COUNTIF(H15:W15,"Yes")</f>
        <v/>
      </c>
      <c r="AA15" s="27">
        <f>COUNTIF(H15:W15,"Uncertain")</f>
        <v/>
      </c>
    </row>
    <row r="16">
      <c r="A16" s="27" t="n">
        <v>15</v>
      </c>
      <c r="B16" s="27" t="inlineStr">
        <is>
          <t>E05</t>
        </is>
      </c>
      <c r="C16" s="27" t="inlineStr">
        <is>
          <t>Xiaomi</t>
        </is>
      </c>
      <c r="D16" s="27" t="inlineStr">
        <is>
          <t>LYWSD03MMC-z</t>
        </is>
      </c>
      <c r="E16" s="27" t="inlineStr">
        <is>
          <t>https://www.zigbee2mqtt.io/devices/LYWSD03MMC-z.html</t>
        </is>
      </c>
      <c r="F16" s="27" t="inlineStr">
        <is>
          <t>temperature; humidity; battery</t>
        </is>
      </c>
      <c r="G16" s="27" t="inlineStr">
        <is>
          <t>Temperature and Humidity Monitor: temperature (°C); humidity (%); battery % 0-100.</t>
        </is>
      </c>
      <c r="H16" s="27" t="inlineStr">
        <is>
          <t>No</t>
        </is>
      </c>
      <c r="I16" s="27" t="inlineStr">
        <is>
          <t>No</t>
        </is>
      </c>
      <c r="J16" s="27" t="inlineStr">
        <is>
          <t>No</t>
        </is>
      </c>
      <c r="K16" s="27" t="inlineStr">
        <is>
          <t>No</t>
        </is>
      </c>
      <c r="L16" s="27" t="inlineStr">
        <is>
          <t>Yes</t>
        </is>
      </c>
      <c r="M16" s="27" t="inlineStr">
        <is>
          <t>Yes</t>
        </is>
      </c>
      <c r="N16" s="27" t="inlineStr">
        <is>
          <t>No</t>
        </is>
      </c>
      <c r="O16" s="27" t="inlineStr">
        <is>
          <t>No</t>
        </is>
      </c>
      <c r="P16" s="27" t="inlineStr">
        <is>
          <t>No</t>
        </is>
      </c>
      <c r="Q16" s="27" t="inlineStr">
        <is>
          <t>No</t>
        </is>
      </c>
      <c r="R16" s="27" t="inlineStr">
        <is>
          <t>No</t>
        </is>
      </c>
      <c r="S16" s="27" t="inlineStr">
        <is>
          <t>No</t>
        </is>
      </c>
      <c r="T16" s="27" t="inlineStr">
        <is>
          <t>No</t>
        </is>
      </c>
      <c r="U16" s="27" t="inlineStr">
        <is>
          <t>No</t>
        </is>
      </c>
      <c r="V16" s="27" t="inlineStr">
        <is>
          <t>No</t>
        </is>
      </c>
      <c r="W16" s="27" t="inlineStr">
        <is>
          <t>Yes</t>
        </is>
      </c>
      <c r="X16" s="27" t="inlineStr">
        <is>
          <t>High</t>
        </is>
      </c>
      <c r="Y16" s="27" t="n"/>
      <c r="Z16" s="27">
        <f>COUNTIF(H16:W16,"Yes")</f>
        <v/>
      </c>
      <c r="AA16" s="27">
        <f>COUNTIF(H16:W16,"Uncertain")</f>
        <v/>
      </c>
    </row>
    <row r="17">
      <c r="A17" s="27" t="n">
        <v>16</v>
      </c>
      <c r="B17" s="27" t="inlineStr">
        <is>
          <t>T04</t>
        </is>
      </c>
      <c r="C17" s="27" t="inlineStr">
        <is>
          <t>Zen</t>
        </is>
      </c>
      <c r="D17" s="27" t="inlineStr">
        <is>
          <t>Zen-01-W</t>
        </is>
      </c>
      <c r="E17" s="27" t="inlineStr">
        <is>
          <t>https://www.zigbee2mqtt.io/devices/Zen-01-W.html</t>
        </is>
      </c>
      <c r="F17" s="27" t="inlineStr">
        <is>
          <t>local_temperature; occupied_heating_setpoint; occupied_cooling_setpoint; system_mode; fan_mode</t>
        </is>
      </c>
      <c r="G17" s="27" t="inlineStr">
        <is>
          <t>Thermostat: local_temperature; occupied_heating/cooling_setpoint; system_mode off/auto/heat/cool/emergency_heating; fan_mode. Only 'voltage' (mV) exposed.</t>
        </is>
      </c>
      <c r="H17" s="27" t="inlineStr">
        <is>
          <t>No</t>
        </is>
      </c>
      <c r="I17" s="27" t="inlineStr">
        <is>
          <t>No</t>
        </is>
      </c>
      <c r="J17" s="27" t="inlineStr">
        <is>
          <t>No</t>
        </is>
      </c>
      <c r="K17" s="27" t="inlineStr">
        <is>
          <t>No</t>
        </is>
      </c>
      <c r="L17" s="27" t="inlineStr">
        <is>
          <t>Yes</t>
        </is>
      </c>
      <c r="M17" s="27" t="inlineStr">
        <is>
          <t>No</t>
        </is>
      </c>
      <c r="N17" s="27" t="inlineStr">
        <is>
          <t>No</t>
        </is>
      </c>
      <c r="O17" s="27" t="inlineStr">
        <is>
          <t>No</t>
        </is>
      </c>
      <c r="P17" s="27" t="inlineStr">
        <is>
          <t>No</t>
        </is>
      </c>
      <c r="Q17" s="27" t="inlineStr">
        <is>
          <t>No</t>
        </is>
      </c>
      <c r="R17" s="27" t="inlineStr">
        <is>
          <t>Yes</t>
        </is>
      </c>
      <c r="S17" s="27" t="inlineStr">
        <is>
          <t>Yes</t>
        </is>
      </c>
      <c r="T17" s="27" t="inlineStr">
        <is>
          <t>Yes</t>
        </is>
      </c>
      <c r="U17" s="27" t="inlineStr">
        <is>
          <t>No</t>
        </is>
      </c>
      <c r="V17" s="27" t="inlineStr">
        <is>
          <t>No</t>
        </is>
      </c>
      <c r="W17" s="27" t="inlineStr">
        <is>
          <t>No</t>
        </is>
      </c>
      <c r="X17" s="27" t="inlineStr">
        <is>
          <t>Medium</t>
        </is>
      </c>
      <c r="Y17" s="27" t="inlineStr">
        <is>
          <t>fan_mode is listed as a climate feature but the page gives no type/values; marked Yes because the property is explicitly exposed. Flag for adjudication. Only battery voltage (mV) is exposed, no % level, so battery_level_sensing=No; rule gap on voltage-only reports, flag for adjudication.</t>
        </is>
      </c>
      <c r="Z17" s="27">
        <f>COUNTIF(H17:W17,"Yes")</f>
        <v/>
      </c>
      <c r="AA17" s="27">
        <f>COUNTIF(H17:W17,"Uncertain")</f>
        <v/>
      </c>
    </row>
    <row r="18">
      <c r="A18" s="27" t="n">
        <v>17</v>
      </c>
      <c r="B18" s="27" t="inlineStr">
        <is>
          <t>P01</t>
        </is>
      </c>
      <c r="C18" s="27" t="inlineStr">
        <is>
          <t>eWeLink</t>
        </is>
      </c>
      <c r="D18" s="27" t="inlineStr">
        <is>
          <t>SA-003-Zigbee</t>
        </is>
      </c>
      <c r="E18" s="27" t="inlineStr">
        <is>
          <t>https://www.zigbee2mqtt.io/devices/SA-003-Zigbee.html</t>
        </is>
      </c>
      <c r="F18" s="27" t="inlineStr">
        <is>
          <t>state</t>
        </is>
      </c>
      <c r="G18" s="27" t="inlineStr">
        <is>
          <t>Smart plug: state ON/OFF only (plus on_time/off_wait_time).</t>
        </is>
      </c>
      <c r="H18" s="27" t="inlineStr">
        <is>
          <t>Yes</t>
        </is>
      </c>
      <c r="I18" s="27" t="inlineStr">
        <is>
          <t>No</t>
        </is>
      </c>
      <c r="J18" s="27" t="inlineStr">
        <is>
          <t>No</t>
        </is>
      </c>
      <c r="K18" s="27" t="inlineStr">
        <is>
          <t>No</t>
        </is>
      </c>
      <c r="L18" s="27" t="inlineStr">
        <is>
          <t>No</t>
        </is>
      </c>
      <c r="M18" s="27" t="inlineStr">
        <is>
          <t>No</t>
        </is>
      </c>
      <c r="N18" s="27" t="inlineStr">
        <is>
          <t>No</t>
        </is>
      </c>
      <c r="O18" s="27" t="inlineStr">
        <is>
          <t>No</t>
        </is>
      </c>
      <c r="P18" s="27" t="inlineStr">
        <is>
          <t>No</t>
        </is>
      </c>
      <c r="Q18" s="27" t="inlineStr">
        <is>
          <t>No</t>
        </is>
      </c>
      <c r="R18" s="27" t="inlineStr">
        <is>
          <t>No</t>
        </is>
      </c>
      <c r="S18" s="27" t="inlineStr">
        <is>
          <t>No</t>
        </is>
      </c>
      <c r="T18" s="27" t="inlineStr">
        <is>
          <t>No</t>
        </is>
      </c>
      <c r="U18" s="27" t="inlineStr">
        <is>
          <t>No</t>
        </is>
      </c>
      <c r="V18" s="27" t="inlineStr">
        <is>
          <t>No</t>
        </is>
      </c>
      <c r="W18" s="27" t="inlineStr">
        <is>
          <t>No</t>
        </is>
      </c>
      <c r="X18" s="27" t="inlineStr">
        <is>
          <t>High</t>
        </is>
      </c>
      <c r="Y18" s="27" t="n"/>
      <c r="Z18" s="27">
        <f>COUNTIF(H18:W18,"Yes")</f>
        <v/>
      </c>
      <c r="AA18" s="27">
        <f>COUNTIF(H18:W18,"Uncertain")</f>
        <v/>
      </c>
    </row>
    <row r="19">
      <c r="A19" s="27" t="n">
        <v>18</v>
      </c>
      <c r="B19" s="27" t="inlineStr">
        <is>
          <t>K02</t>
        </is>
      </c>
      <c r="C19" s="27" t="inlineStr">
        <is>
          <t>Schlage</t>
        </is>
      </c>
      <c r="D19" s="27" t="inlineStr">
        <is>
          <t>BE468</t>
        </is>
      </c>
      <c r="E19" s="27" t="inlineStr">
        <is>
          <t>https://www.zigbee2mqtt.io/devices/BE468.html</t>
        </is>
      </c>
      <c r="F19" s="27" t="inlineStr">
        <is>
          <t>state(LOCK/UNLOCK); lock_state; battery</t>
        </is>
      </c>
      <c r="G19" s="27" t="inlineStr">
        <is>
          <t>Smart deadbolt: state LOCK/UNLOCK; lock_state; battery % 0-100.</t>
        </is>
      </c>
      <c r="H19" s="27" t="inlineStr">
        <is>
          <t>No</t>
        </is>
      </c>
      <c r="I19" s="27" t="inlineStr">
        <is>
          <t>No</t>
        </is>
      </c>
      <c r="J19" s="27" t="inlineStr">
        <is>
          <t>No</t>
        </is>
      </c>
      <c r="K19" s="27" t="inlineStr">
        <is>
          <t>No</t>
        </is>
      </c>
      <c r="L19" s="27" t="inlineStr">
        <is>
          <t>No</t>
        </is>
      </c>
      <c r="M19" s="27" t="inlineStr">
        <is>
          <t>No</t>
        </is>
      </c>
      <c r="N19" s="27" t="inlineStr">
        <is>
          <t>No</t>
        </is>
      </c>
      <c r="O19" s="27" t="inlineStr">
        <is>
          <t>No</t>
        </is>
      </c>
      <c r="P19" s="27" t="inlineStr">
        <is>
          <t>Yes</t>
        </is>
      </c>
      <c r="Q19" s="27" t="inlineStr">
        <is>
          <t>No</t>
        </is>
      </c>
      <c r="R19" s="27" t="inlineStr">
        <is>
          <t>No</t>
        </is>
      </c>
      <c r="S19" s="27" t="inlineStr">
        <is>
          <t>No</t>
        </is>
      </c>
      <c r="T19" s="27" t="inlineStr">
        <is>
          <t>No</t>
        </is>
      </c>
      <c r="U19" s="27" t="inlineStr">
        <is>
          <t>No</t>
        </is>
      </c>
      <c r="V19" s="27" t="inlineStr">
        <is>
          <t>No</t>
        </is>
      </c>
      <c r="W19" s="27" t="inlineStr">
        <is>
          <t>Yes</t>
        </is>
      </c>
      <c r="X19" s="27" t="inlineStr">
        <is>
          <t>High</t>
        </is>
      </c>
      <c r="Y19" s="27" t="n"/>
      <c r="Z19" s="27">
        <f>COUNTIF(H19:W19,"Yes")</f>
        <v/>
      </c>
      <c r="AA19" s="27">
        <f>COUNTIF(H19:W19,"Uncertain")</f>
        <v/>
      </c>
    </row>
    <row r="20">
      <c r="A20" s="27" t="n">
        <v>19</v>
      </c>
      <c r="B20" s="27" t="inlineStr">
        <is>
          <t>K05</t>
        </is>
      </c>
      <c r="C20" s="27" t="inlineStr">
        <is>
          <t>ShinaSystem</t>
        </is>
      </c>
      <c r="D20" s="27" t="inlineStr">
        <is>
          <t>DLM-300Z</t>
        </is>
      </c>
      <c r="E20" s="27" t="inlineStr">
        <is>
          <t>https://www.zigbee2mqtt.io/devices/DLM-300Z.html</t>
        </is>
      </c>
      <c r="F20" s="27" t="inlineStr">
        <is>
          <t>lock; door_state; battery</t>
        </is>
      </c>
      <c r="G20" s="27" t="inlineStr">
        <is>
          <t>Sihas door lock: state LOCK/UNLOCK; lock_state; door_state open/closed; battery % 0-100.</t>
        </is>
      </c>
      <c r="H20" s="27" t="inlineStr">
        <is>
          <t>No</t>
        </is>
      </c>
      <c r="I20" s="27" t="inlineStr">
        <is>
          <t>No</t>
        </is>
      </c>
      <c r="J20" s="27" t="inlineStr">
        <is>
          <t>No</t>
        </is>
      </c>
      <c r="K20" s="27" t="inlineStr">
        <is>
          <t>No</t>
        </is>
      </c>
      <c r="L20" s="27" t="inlineStr">
        <is>
          <t>No</t>
        </is>
      </c>
      <c r="M20" s="27" t="inlineStr">
        <is>
          <t>No</t>
        </is>
      </c>
      <c r="N20" s="27" t="inlineStr">
        <is>
          <t>No</t>
        </is>
      </c>
      <c r="O20" s="27" t="inlineStr">
        <is>
          <t>No</t>
        </is>
      </c>
      <c r="P20" s="27" t="inlineStr">
        <is>
          <t>Yes</t>
        </is>
      </c>
      <c r="Q20" s="27" t="inlineStr">
        <is>
          <t>Yes</t>
        </is>
      </c>
      <c r="R20" s="27" t="inlineStr">
        <is>
          <t>No</t>
        </is>
      </c>
      <c r="S20" s="27" t="inlineStr">
        <is>
          <t>No</t>
        </is>
      </c>
      <c r="T20" s="27" t="inlineStr">
        <is>
          <t>No</t>
        </is>
      </c>
      <c r="U20" s="27" t="inlineStr">
        <is>
          <t>No</t>
        </is>
      </c>
      <c r="V20" s="27" t="inlineStr">
        <is>
          <t>No</t>
        </is>
      </c>
      <c r="W20" s="27" t="inlineStr">
        <is>
          <t>Yes</t>
        </is>
      </c>
      <c r="X20" s="27" t="inlineStr">
        <is>
          <t>High</t>
        </is>
      </c>
      <c r="Y20" s="27" t="n"/>
      <c r="Z20" s="27">
        <f>COUNTIF(H20:W20,"Yes")</f>
        <v/>
      </c>
      <c r="AA20" s="27">
        <f>COUNTIF(H20:W20,"Uncertain")</f>
        <v/>
      </c>
    </row>
    <row r="21">
      <c r="A21" s="27" t="n">
        <v>20</v>
      </c>
      <c r="B21" s="27" t="inlineStr">
        <is>
          <t>M06</t>
        </is>
      </c>
      <c r="C21" s="27" t="inlineStr">
        <is>
          <t>Tuya</t>
        </is>
      </c>
      <c r="D21" s="27" t="inlineStr">
        <is>
          <t>ZD24_Presence_Sensor</t>
        </is>
      </c>
      <c r="E21" s="27" t="inlineStr">
        <is>
          <t>https://www.zigbee2mqtt.io/devices/ZD24_Presence_Sensor.html</t>
        </is>
      </c>
      <c r="F21" s="27" t="inlineStr">
        <is>
          <t>presence; motion_state; battery</t>
        </is>
      </c>
      <c r="G21" s="27" t="inlineStr">
        <is>
          <t>'PIR 24GHz human presence sensor': presence ('detected presence'); motion_state none/static/small/large; motion_detection_mode/sensitivity; fading_time ('Presence keep time'); battery %.</t>
        </is>
      </c>
      <c r="H21" s="27" t="inlineStr">
        <is>
          <t>No</t>
        </is>
      </c>
      <c r="I21" s="27" t="inlineStr">
        <is>
          <t>No</t>
        </is>
      </c>
      <c r="J21" s="27" t="inlineStr">
        <is>
          <t>No</t>
        </is>
      </c>
      <c r="K21" s="27" t="inlineStr">
        <is>
          <t>No</t>
        </is>
      </c>
      <c r="L21" s="27" t="inlineStr">
        <is>
          <t>No</t>
        </is>
      </c>
      <c r="M21" s="27" t="inlineStr">
        <is>
          <t>No</t>
        </is>
      </c>
      <c r="N21" s="27" t="inlineStr">
        <is>
          <t>Yes</t>
        </is>
      </c>
      <c r="O21" s="27" t="inlineStr">
        <is>
          <t>Yes</t>
        </is>
      </c>
      <c r="P21" s="27" t="inlineStr">
        <is>
          <t>No</t>
        </is>
      </c>
      <c r="Q21" s="27" t="inlineStr">
        <is>
          <t>No</t>
        </is>
      </c>
      <c r="R21" s="27" t="inlineStr">
        <is>
          <t>No</t>
        </is>
      </c>
      <c r="S21" s="27" t="inlineStr">
        <is>
          <t>No</t>
        </is>
      </c>
      <c r="T21" s="27" t="inlineStr">
        <is>
          <t>No</t>
        </is>
      </c>
      <c r="U21" s="27" t="inlineStr">
        <is>
          <t>No</t>
        </is>
      </c>
      <c r="V21" s="27" t="inlineStr">
        <is>
          <t>No</t>
        </is>
      </c>
      <c r="W21" s="27" t="inlineStr">
        <is>
          <t>Yes</t>
        </is>
      </c>
      <c r="X21" s="27" t="inlineStr">
        <is>
          <t>Medium</t>
        </is>
      </c>
      <c r="Y21" s="27" t="inlineStr">
        <is>
          <t>Hybrid PIR+radar: PIR/motion fields (motion_state, motion_detection_mode) support motion; presence with keep time supports sustained occupancy. Both marked Yes; flag for adjudication.</t>
        </is>
      </c>
      <c r="Z21" s="27">
        <f>COUNTIF(H21:W21,"Yes")</f>
        <v/>
      </c>
      <c r="AA21" s="27">
        <f>COUNTIF(H21:W21,"Uncertain")</f>
        <v/>
      </c>
    </row>
    <row r="22">
      <c r="A22" s="27" t="n">
        <v>21</v>
      </c>
      <c r="B22" s="27" t="inlineStr">
        <is>
          <t>L03</t>
        </is>
      </c>
      <c r="C22" s="27" t="inlineStr">
        <is>
          <t>Tuya</t>
        </is>
      </c>
      <c r="D22" s="27" t="inlineStr">
        <is>
          <t>TS0503B</t>
        </is>
      </c>
      <c r="E22" s="27" t="inlineStr">
        <is>
          <t>https://www.zigbee2mqtt.io/devices/TS0503B.html</t>
        </is>
      </c>
      <c r="F22" s="27" t="inlineStr">
        <is>
          <t>state; brightness; color_xy</t>
        </is>
      </c>
      <c r="G22" s="27" t="inlineStr">
        <is>
          <t>RGB light: state; brightness 0-254; color_xy (no color_temp exposed).</t>
        </is>
      </c>
      <c r="H22" s="27" t="inlineStr">
        <is>
          <t>Yes</t>
        </is>
      </c>
      <c r="I22" s="27" t="inlineStr">
        <is>
          <t>Yes</t>
        </is>
      </c>
      <c r="J22" s="27" t="inlineStr">
        <is>
          <t>Yes</t>
        </is>
      </c>
      <c r="K22" s="27" t="inlineStr">
        <is>
          <t>No</t>
        </is>
      </c>
      <c r="L22" s="27" t="inlineStr">
        <is>
          <t>No</t>
        </is>
      </c>
      <c r="M22" s="27" t="inlineStr">
        <is>
          <t>No</t>
        </is>
      </c>
      <c r="N22" s="27" t="inlineStr">
        <is>
          <t>No</t>
        </is>
      </c>
      <c r="O22" s="27" t="inlineStr">
        <is>
          <t>No</t>
        </is>
      </c>
      <c r="P22" s="27" t="inlineStr">
        <is>
          <t>No</t>
        </is>
      </c>
      <c r="Q22" s="27" t="inlineStr">
        <is>
          <t>No</t>
        </is>
      </c>
      <c r="R22" s="27" t="inlineStr">
        <is>
          <t>No</t>
        </is>
      </c>
      <c r="S22" s="27" t="inlineStr">
        <is>
          <t>No</t>
        </is>
      </c>
      <c r="T22" s="27" t="inlineStr">
        <is>
          <t>No</t>
        </is>
      </c>
      <c r="U22" s="27" t="inlineStr">
        <is>
          <t>No</t>
        </is>
      </c>
      <c r="V22" s="27" t="inlineStr">
        <is>
          <t>No</t>
        </is>
      </c>
      <c r="W22" s="27" t="inlineStr">
        <is>
          <t>No</t>
        </is>
      </c>
      <c r="X22" s="27" t="inlineStr">
        <is>
          <t>High</t>
        </is>
      </c>
      <c r="Y22" s="27" t="n"/>
      <c r="Z22" s="27">
        <f>COUNTIF(H22:W22,"Yes")</f>
        <v/>
      </c>
      <c r="AA22" s="27">
        <f>COUNTIF(H22:W22,"Uncertain")</f>
        <v/>
      </c>
    </row>
    <row r="23">
      <c r="A23" s="27" t="n">
        <v>22</v>
      </c>
      <c r="B23" s="27" t="inlineStr">
        <is>
          <t>L02</t>
        </is>
      </c>
      <c r="C23" s="27" t="inlineStr">
        <is>
          <t>Tuya</t>
        </is>
      </c>
      <c r="D23" s="27" t="inlineStr">
        <is>
          <t>TS0502A</t>
        </is>
      </c>
      <c r="E23" s="27" t="inlineStr">
        <is>
          <t>https://www.zigbee2mqtt.io/devices/TS0502A.html</t>
        </is>
      </c>
      <c r="F23" s="27" t="inlineStr">
        <is>
          <t>state; brightness; color_temp</t>
        </is>
      </c>
      <c r="G23" s="27" t="inlineStr">
        <is>
          <t>Light controller: state; brightness 0-254; color_temp 153-500 (no colour exposed).</t>
        </is>
      </c>
      <c r="H23" s="27" t="inlineStr">
        <is>
          <t>Yes</t>
        </is>
      </c>
      <c r="I23" s="27" t="inlineStr">
        <is>
          <t>Yes</t>
        </is>
      </c>
      <c r="J23" s="27" t="inlineStr">
        <is>
          <t>No</t>
        </is>
      </c>
      <c r="K23" s="27" t="inlineStr">
        <is>
          <t>Yes</t>
        </is>
      </c>
      <c r="L23" s="27" t="inlineStr">
        <is>
          <t>No</t>
        </is>
      </c>
      <c r="M23" s="27" t="inlineStr">
        <is>
          <t>No</t>
        </is>
      </c>
      <c r="N23" s="27" t="inlineStr">
        <is>
          <t>No</t>
        </is>
      </c>
      <c r="O23" s="27" t="inlineStr">
        <is>
          <t>No</t>
        </is>
      </c>
      <c r="P23" s="27" t="inlineStr">
        <is>
          <t>No</t>
        </is>
      </c>
      <c r="Q23" s="27" t="inlineStr">
        <is>
          <t>No</t>
        </is>
      </c>
      <c r="R23" s="27" t="inlineStr">
        <is>
          <t>No</t>
        </is>
      </c>
      <c r="S23" s="27" t="inlineStr">
        <is>
          <t>No</t>
        </is>
      </c>
      <c r="T23" s="27" t="inlineStr">
        <is>
          <t>No</t>
        </is>
      </c>
      <c r="U23" s="27" t="inlineStr">
        <is>
          <t>No</t>
        </is>
      </c>
      <c r="V23" s="27" t="inlineStr">
        <is>
          <t>No</t>
        </is>
      </c>
      <c r="W23" s="27" t="inlineStr">
        <is>
          <t>No</t>
        </is>
      </c>
      <c r="X23" s="27" t="inlineStr">
        <is>
          <t>High</t>
        </is>
      </c>
      <c r="Y23" s="27" t="n"/>
      <c r="Z23" s="27">
        <f>COUNTIF(H23:W23,"Yes")</f>
        <v/>
      </c>
      <c r="AA23" s="27">
        <f>COUNTIF(H23:W23,"Uncertain")</f>
        <v/>
      </c>
    </row>
    <row r="24">
      <c r="A24" s="27" t="n">
        <v>23</v>
      </c>
      <c r="B24" s="27" t="inlineStr">
        <is>
          <t>E06</t>
        </is>
      </c>
      <c r="C24" s="27" t="inlineStr">
        <is>
          <t>Third Reality</t>
        </is>
      </c>
      <c r="D24" s="27" t="inlineStr">
        <is>
          <t>3RTHS24BZ</t>
        </is>
      </c>
      <c r="E24" s="27" t="inlineStr">
        <is>
          <t>https://www.zigbee2mqtt.io/devices/3RTHS24BZ.html</t>
        </is>
      </c>
      <c r="F24" s="27" t="inlineStr">
        <is>
          <t>temperature; humidity; battery</t>
        </is>
      </c>
      <c r="G24" s="27" t="inlineStr">
        <is>
          <t>temperature (°C); humidity (%); battery % 0-100.</t>
        </is>
      </c>
      <c r="H24" s="27" t="inlineStr">
        <is>
          <t>No</t>
        </is>
      </c>
      <c r="I24" s="27" t="inlineStr">
        <is>
          <t>No</t>
        </is>
      </c>
      <c r="J24" s="27" t="inlineStr">
        <is>
          <t>No</t>
        </is>
      </c>
      <c r="K24" s="27" t="inlineStr">
        <is>
          <t>No</t>
        </is>
      </c>
      <c r="L24" s="27" t="inlineStr">
        <is>
          <t>Yes</t>
        </is>
      </c>
      <c r="M24" s="27" t="inlineStr">
        <is>
          <t>Yes</t>
        </is>
      </c>
      <c r="N24" s="27" t="inlineStr">
        <is>
          <t>No</t>
        </is>
      </c>
      <c r="O24" s="27" t="inlineStr">
        <is>
          <t>No</t>
        </is>
      </c>
      <c r="P24" s="27" t="inlineStr">
        <is>
          <t>No</t>
        </is>
      </c>
      <c r="Q24" s="27" t="inlineStr">
        <is>
          <t>No</t>
        </is>
      </c>
      <c r="R24" s="27" t="inlineStr">
        <is>
          <t>No</t>
        </is>
      </c>
      <c r="S24" s="27" t="inlineStr">
        <is>
          <t>No</t>
        </is>
      </c>
      <c r="T24" s="27" t="inlineStr">
        <is>
          <t>No</t>
        </is>
      </c>
      <c r="U24" s="27" t="inlineStr">
        <is>
          <t>No</t>
        </is>
      </c>
      <c r="V24" s="27" t="inlineStr">
        <is>
          <t>No</t>
        </is>
      </c>
      <c r="W24" s="27" t="inlineStr">
        <is>
          <t>Yes</t>
        </is>
      </c>
      <c r="X24" s="27" t="inlineStr">
        <is>
          <t>High</t>
        </is>
      </c>
      <c r="Y24" s="27" t="n"/>
      <c r="Z24" s="27">
        <f>COUNTIF(H24:W24,"Yes")</f>
        <v/>
      </c>
      <c r="AA24" s="27">
        <f>COUNTIF(H24:W24,"Uncertain")</f>
        <v/>
      </c>
    </row>
    <row r="25">
      <c r="A25" s="27" t="n">
        <v>24</v>
      </c>
      <c r="B25" s="27" t="inlineStr">
        <is>
          <t>K01</t>
        </is>
      </c>
      <c r="C25" s="27" t="inlineStr">
        <is>
          <t>easyiot</t>
        </is>
      </c>
      <c r="D25" s="27" t="inlineStr">
        <is>
          <t>ZB-ZL01</t>
        </is>
      </c>
      <c r="E25" s="27" t="inlineStr">
        <is>
          <t>https://www.zigbee2mqtt.io/devices/ZB-ZL01.html</t>
        </is>
      </c>
      <c r="F25" s="27" t="inlineStr">
        <is>
          <t>lock_status; unlock_door; battery</t>
        </is>
      </c>
      <c r="G25" s="27" t="inlineStr">
        <is>
          <t>Smart door lock: lock_status (0 locked/1 unlocked); unlock_door (PIN); unlock_door_with_timeout; battery % 0-100.</t>
        </is>
      </c>
      <c r="H25" s="27" t="inlineStr">
        <is>
          <t>No</t>
        </is>
      </c>
      <c r="I25" s="27" t="inlineStr">
        <is>
          <t>No</t>
        </is>
      </c>
      <c r="J25" s="27" t="inlineStr">
        <is>
          <t>No</t>
        </is>
      </c>
      <c r="K25" s="27" t="inlineStr">
        <is>
          <t>No</t>
        </is>
      </c>
      <c r="L25" s="27" t="inlineStr">
        <is>
          <t>No</t>
        </is>
      </c>
      <c r="M25" s="27" t="inlineStr">
        <is>
          <t>No</t>
        </is>
      </c>
      <c r="N25" s="27" t="inlineStr">
        <is>
          <t>No</t>
        </is>
      </c>
      <c r="O25" s="27" t="inlineStr">
        <is>
          <t>No</t>
        </is>
      </c>
      <c r="P25" s="27" t="inlineStr">
        <is>
          <t>Yes</t>
        </is>
      </c>
      <c r="Q25" s="27" t="inlineStr">
        <is>
          <t>No</t>
        </is>
      </c>
      <c r="R25" s="27" t="inlineStr">
        <is>
          <t>No</t>
        </is>
      </c>
      <c r="S25" s="27" t="inlineStr">
        <is>
          <t>No</t>
        </is>
      </c>
      <c r="T25" s="27" t="inlineStr">
        <is>
          <t>No</t>
        </is>
      </c>
      <c r="U25" s="27" t="inlineStr">
        <is>
          <t>No</t>
        </is>
      </c>
      <c r="V25" s="27" t="inlineStr">
        <is>
          <t>No</t>
        </is>
      </c>
      <c r="W25" s="27" t="inlineStr">
        <is>
          <t>Yes</t>
        </is>
      </c>
      <c r="X25" s="27" t="inlineStr">
        <is>
          <t>Medium</t>
        </is>
      </c>
      <c r="Y25" s="27" t="inlineStr">
        <is>
          <t>Page exposes lock status and an unlock action but no explicit lock command; marked Yes because lock/unlock state and action are both exposed. Flag for adjudication.</t>
        </is>
      </c>
      <c r="Z25" s="27">
        <f>COUNTIF(H25:W25,"Yes")</f>
        <v/>
      </c>
      <c r="AA25" s="27">
        <f>COUNTIF(H25:W25,"Uncertain")</f>
        <v/>
      </c>
    </row>
    <row r="26">
      <c r="A26" s="27" t="n">
        <v>25</v>
      </c>
      <c r="B26" s="27" t="inlineStr">
        <is>
          <t>T01</t>
        </is>
      </c>
      <c r="C26" s="27" t="inlineStr">
        <is>
          <t>Hive</t>
        </is>
      </c>
      <c r="D26" s="27" t="inlineStr">
        <is>
          <t>SLR1c</t>
        </is>
      </c>
      <c r="E26" s="27" t="inlineStr">
        <is>
          <t>https://www.zigbee2mqtt.io/devices/SLR1c.html</t>
        </is>
      </c>
      <c r="F26" s="27" t="inlineStr">
        <is>
          <t>local_temperature; occupied_heating_setpoint; system_mode</t>
        </is>
      </c>
      <c r="G26" s="27" t="inlineStr">
        <is>
          <t>Heating thermostat: local_temperature; occupied_heating_setpoint 5-32; system_mode off/auto/heat.</t>
        </is>
      </c>
      <c r="H26" s="27" t="inlineStr">
        <is>
          <t>No</t>
        </is>
      </c>
      <c r="I26" s="27" t="inlineStr">
        <is>
          <t>No</t>
        </is>
      </c>
      <c r="J26" s="27" t="inlineStr">
        <is>
          <t>No</t>
        </is>
      </c>
      <c r="K26" s="27" t="inlineStr">
        <is>
          <t>No</t>
        </is>
      </c>
      <c r="L26" s="27" t="inlineStr">
        <is>
          <t>Yes</t>
        </is>
      </c>
      <c r="M26" s="27" t="inlineStr">
        <is>
          <t>No</t>
        </is>
      </c>
      <c r="N26" s="27" t="inlineStr">
        <is>
          <t>No</t>
        </is>
      </c>
      <c r="O26" s="27" t="inlineStr">
        <is>
          <t>No</t>
        </is>
      </c>
      <c r="P26" s="27" t="inlineStr">
        <is>
          <t>No</t>
        </is>
      </c>
      <c r="Q26" s="27" t="inlineStr">
        <is>
          <t>No</t>
        </is>
      </c>
      <c r="R26" s="27" t="inlineStr">
        <is>
          <t>Yes</t>
        </is>
      </c>
      <c r="S26" s="27" t="inlineStr">
        <is>
          <t>Yes</t>
        </is>
      </c>
      <c r="T26" s="27" t="inlineStr">
        <is>
          <t>No</t>
        </is>
      </c>
      <c r="U26" s="27" t="inlineStr">
        <is>
          <t>No</t>
        </is>
      </c>
      <c r="V26" s="27" t="inlineStr">
        <is>
          <t>No</t>
        </is>
      </c>
      <c r="W26" s="27" t="inlineStr">
        <is>
          <t>No</t>
        </is>
      </c>
      <c r="X26" s="27" t="inlineStr">
        <is>
          <t>High</t>
        </is>
      </c>
      <c r="Y26" s="27" t="n"/>
      <c r="Z26" s="27">
        <f>COUNTIF(H26:W26,"Yes")</f>
        <v/>
      </c>
      <c r="AA26" s="27">
        <f>COUNTIF(H26:W26,"Uncertain")</f>
        <v/>
      </c>
    </row>
    <row r="27">
      <c r="A27" s="27" t="n">
        <v>26</v>
      </c>
      <c r="B27" s="27" t="inlineStr">
        <is>
          <t>E04</t>
        </is>
      </c>
      <c r="C27" s="27" t="inlineStr">
        <is>
          <t>Tuya</t>
        </is>
      </c>
      <c r="D27" s="27" t="inlineStr">
        <is>
          <t>TS0201</t>
        </is>
      </c>
      <c r="E27" s="27" t="inlineStr">
        <is>
          <t>https://www.zigbee2mqtt.io/devices/TS0201.html</t>
        </is>
      </c>
      <c r="F27" s="27" t="inlineStr">
        <is>
          <t>temperature; humidity; battery</t>
        </is>
      </c>
      <c r="G27" s="27" t="inlineStr">
        <is>
          <t>Temperature &amp; humidity sensor with display: temperature; humidity; battery % 0-100.</t>
        </is>
      </c>
      <c r="H27" s="27" t="inlineStr">
        <is>
          <t>No</t>
        </is>
      </c>
      <c r="I27" s="27" t="inlineStr">
        <is>
          <t>No</t>
        </is>
      </c>
      <c r="J27" s="27" t="inlineStr">
        <is>
          <t>No</t>
        </is>
      </c>
      <c r="K27" s="27" t="inlineStr">
        <is>
          <t>No</t>
        </is>
      </c>
      <c r="L27" s="27" t="inlineStr">
        <is>
          <t>Yes</t>
        </is>
      </c>
      <c r="M27" s="27" t="inlineStr">
        <is>
          <t>Yes</t>
        </is>
      </c>
      <c r="N27" s="27" t="inlineStr">
        <is>
          <t>No</t>
        </is>
      </c>
      <c r="O27" s="27" t="inlineStr">
        <is>
          <t>No</t>
        </is>
      </c>
      <c r="P27" s="27" t="inlineStr">
        <is>
          <t>No</t>
        </is>
      </c>
      <c r="Q27" s="27" t="inlineStr">
        <is>
          <t>No</t>
        </is>
      </c>
      <c r="R27" s="27" t="inlineStr">
        <is>
          <t>No</t>
        </is>
      </c>
      <c r="S27" s="27" t="inlineStr">
        <is>
          <t>No</t>
        </is>
      </c>
      <c r="T27" s="27" t="inlineStr">
        <is>
          <t>No</t>
        </is>
      </c>
      <c r="U27" s="27" t="inlineStr">
        <is>
          <t>No</t>
        </is>
      </c>
      <c r="V27" s="27" t="inlineStr">
        <is>
          <t>No</t>
        </is>
      </c>
      <c r="W27" s="27" t="inlineStr">
        <is>
          <t>Yes</t>
        </is>
      </c>
      <c r="X27" s="27" t="inlineStr">
        <is>
          <t>High</t>
        </is>
      </c>
      <c r="Y27" s="27" t="n"/>
      <c r="Z27" s="27">
        <f>COUNTIF(H27:W27,"Yes")</f>
        <v/>
      </c>
      <c r="AA27" s="27">
        <f>COUNTIF(H27:W27,"Uncertain")</f>
        <v/>
      </c>
    </row>
    <row r="28">
      <c r="A28" s="27" t="n">
        <v>27</v>
      </c>
      <c r="B28" s="27" t="inlineStr">
        <is>
          <t>K04</t>
        </is>
      </c>
      <c r="C28" s="27" t="inlineStr">
        <is>
          <t>Datek</t>
        </is>
      </c>
      <c r="D28" s="27" t="inlineStr">
        <is>
          <t>0402946</t>
        </is>
      </c>
      <c r="E28" s="27" t="inlineStr">
        <is>
          <t>https://www.zigbee2mqtt.io/devices/0402946.html</t>
        </is>
      </c>
      <c r="F28" s="27" t="inlineStr">
        <is>
          <t>lock; door_state; battery</t>
        </is>
      </c>
      <c r="G28" s="27" t="inlineStr">
        <is>
          <t>ID lock module: state LOCK/UNLOCK; lock_state; door_state open/closed ('Physical door state'); battery % 0-100.</t>
        </is>
      </c>
      <c r="H28" s="27" t="inlineStr">
        <is>
          <t>No</t>
        </is>
      </c>
      <c r="I28" s="27" t="inlineStr">
        <is>
          <t>No</t>
        </is>
      </c>
      <c r="J28" s="27" t="inlineStr">
        <is>
          <t>No</t>
        </is>
      </c>
      <c r="K28" s="27" t="inlineStr">
        <is>
          <t>No</t>
        </is>
      </c>
      <c r="L28" s="27" t="inlineStr">
        <is>
          <t>No</t>
        </is>
      </c>
      <c r="M28" s="27" t="inlineStr">
        <is>
          <t>No</t>
        </is>
      </c>
      <c r="N28" s="27" t="inlineStr">
        <is>
          <t>No</t>
        </is>
      </c>
      <c r="O28" s="27" t="inlineStr">
        <is>
          <t>No</t>
        </is>
      </c>
      <c r="P28" s="27" t="inlineStr">
        <is>
          <t>Yes</t>
        </is>
      </c>
      <c r="Q28" s="27" t="inlineStr">
        <is>
          <t>Yes</t>
        </is>
      </c>
      <c r="R28" s="27" t="inlineStr">
        <is>
          <t>No</t>
        </is>
      </c>
      <c r="S28" s="27" t="inlineStr">
        <is>
          <t>No</t>
        </is>
      </c>
      <c r="T28" s="27" t="inlineStr">
        <is>
          <t>No</t>
        </is>
      </c>
      <c r="U28" s="27" t="inlineStr">
        <is>
          <t>No</t>
        </is>
      </c>
      <c r="V28" s="27" t="inlineStr">
        <is>
          <t>No</t>
        </is>
      </c>
      <c r="W28" s="27" t="inlineStr">
        <is>
          <t>Yes</t>
        </is>
      </c>
      <c r="X28" s="27" t="inlineStr">
        <is>
          <t>High</t>
        </is>
      </c>
      <c r="Y28" s="27" t="n"/>
      <c r="Z28" s="27">
        <f>COUNTIF(H28:W28,"Yes")</f>
        <v/>
      </c>
      <c r="AA28" s="27">
        <f>COUNTIF(H28:W28,"Uncertain")</f>
        <v/>
      </c>
    </row>
    <row r="29">
      <c r="A29" s="27" t="n">
        <v>28</v>
      </c>
      <c r="B29" s="27" t="inlineStr">
        <is>
          <t>L01</t>
        </is>
      </c>
      <c r="C29" s="27" t="inlineStr">
        <is>
          <t>Tuya</t>
        </is>
      </c>
      <c r="D29" s="27" t="inlineStr">
        <is>
          <t>TS0601_light</t>
        </is>
      </c>
      <c r="E29" s="27" t="inlineStr">
        <is>
          <t>https://www.zigbee2mqtt.io/devices/TS0601_light.html</t>
        </is>
      </c>
      <c r="F29" s="27" t="inlineStr">
        <is>
          <t>state; brightness</t>
        </is>
      </c>
      <c r="G29" s="27" t="inlineStr">
        <is>
          <t>state ON/OFF; brightness 0-254.</t>
        </is>
      </c>
      <c r="H29" s="27" t="inlineStr">
        <is>
          <t>Yes</t>
        </is>
      </c>
      <c r="I29" s="27" t="inlineStr">
        <is>
          <t>Yes</t>
        </is>
      </c>
      <c r="J29" s="27" t="inlineStr">
        <is>
          <t>No</t>
        </is>
      </c>
      <c r="K29" s="27" t="inlineStr">
        <is>
          <t>No</t>
        </is>
      </c>
      <c r="L29" s="27" t="inlineStr">
        <is>
          <t>No</t>
        </is>
      </c>
      <c r="M29" s="27" t="inlineStr">
        <is>
          <t>No</t>
        </is>
      </c>
      <c r="N29" s="27" t="inlineStr">
        <is>
          <t>No</t>
        </is>
      </c>
      <c r="O29" s="27" t="inlineStr">
        <is>
          <t>No</t>
        </is>
      </c>
      <c r="P29" s="27" t="inlineStr">
        <is>
          <t>No</t>
        </is>
      </c>
      <c r="Q29" s="27" t="inlineStr">
        <is>
          <t>No</t>
        </is>
      </c>
      <c r="R29" s="27" t="inlineStr">
        <is>
          <t>No</t>
        </is>
      </c>
      <c r="S29" s="27" t="inlineStr">
        <is>
          <t>No</t>
        </is>
      </c>
      <c r="T29" s="27" t="inlineStr">
        <is>
          <t>No</t>
        </is>
      </c>
      <c r="U29" s="27" t="inlineStr">
        <is>
          <t>No</t>
        </is>
      </c>
      <c r="V29" s="27" t="inlineStr">
        <is>
          <t>No</t>
        </is>
      </c>
      <c r="W29" s="27" t="inlineStr">
        <is>
          <t>No</t>
        </is>
      </c>
      <c r="X29" s="27" t="inlineStr">
        <is>
          <t>High</t>
        </is>
      </c>
      <c r="Y29" s="27" t="n"/>
      <c r="Z29" s="27">
        <f>COUNTIF(H29:W29,"Yes")</f>
        <v/>
      </c>
      <c r="AA29" s="27">
        <f>COUNTIF(H29:W29,"Uncertain")</f>
        <v/>
      </c>
    </row>
    <row r="30">
      <c r="A30" s="27" t="n">
        <v>29</v>
      </c>
      <c r="B30" s="27" t="inlineStr">
        <is>
          <t>P02</t>
        </is>
      </c>
      <c r="C30" s="27" t="inlineStr">
        <is>
          <t>Philips</t>
        </is>
      </c>
      <c r="D30" s="27" t="inlineStr">
        <is>
          <t>8718699689308</t>
        </is>
      </c>
      <c r="E30" s="27" t="inlineStr">
        <is>
          <t>https://www.zigbee2mqtt.io/devices/8718699689308.html</t>
        </is>
      </c>
      <c r="F30" s="27" t="inlineStr">
        <is>
          <t>state</t>
        </is>
      </c>
      <c r="G30" s="27" t="inlineStr">
        <is>
          <t>Hue smart plug: state ON/OFF only.</t>
        </is>
      </c>
      <c r="H30" s="27" t="inlineStr">
        <is>
          <t>Yes</t>
        </is>
      </c>
      <c r="I30" s="27" t="inlineStr">
        <is>
          <t>No</t>
        </is>
      </c>
      <c r="J30" s="27" t="inlineStr">
        <is>
          <t>No</t>
        </is>
      </c>
      <c r="K30" s="27" t="inlineStr">
        <is>
          <t>No</t>
        </is>
      </c>
      <c r="L30" s="27" t="inlineStr">
        <is>
          <t>No</t>
        </is>
      </c>
      <c r="M30" s="27" t="inlineStr">
        <is>
          <t>No</t>
        </is>
      </c>
      <c r="N30" s="27" t="inlineStr">
        <is>
          <t>No</t>
        </is>
      </c>
      <c r="O30" s="27" t="inlineStr">
        <is>
          <t>No</t>
        </is>
      </c>
      <c r="P30" s="27" t="inlineStr">
        <is>
          <t>No</t>
        </is>
      </c>
      <c r="Q30" s="27" t="inlineStr">
        <is>
          <t>No</t>
        </is>
      </c>
      <c r="R30" s="27" t="inlineStr">
        <is>
          <t>No</t>
        </is>
      </c>
      <c r="S30" s="27" t="inlineStr">
        <is>
          <t>No</t>
        </is>
      </c>
      <c r="T30" s="27" t="inlineStr">
        <is>
          <t>No</t>
        </is>
      </c>
      <c r="U30" s="27" t="inlineStr">
        <is>
          <t>No</t>
        </is>
      </c>
      <c r="V30" s="27" t="inlineStr">
        <is>
          <t>No</t>
        </is>
      </c>
      <c r="W30" s="27" t="inlineStr">
        <is>
          <t>No</t>
        </is>
      </c>
      <c r="X30" s="27" t="inlineStr">
        <is>
          <t>High</t>
        </is>
      </c>
      <c r="Y30" s="27" t="n"/>
      <c r="Z30" s="27">
        <f>COUNTIF(H30:W30,"Yes")</f>
        <v/>
      </c>
      <c r="AA30" s="27">
        <f>COUNTIF(H30:W30,"Uncertain")</f>
        <v/>
      </c>
    </row>
    <row r="31">
      <c r="A31" s="27" t="n">
        <v>30</v>
      </c>
      <c r="B31" s="27" t="inlineStr">
        <is>
          <t>T05</t>
        </is>
      </c>
      <c r="C31" s="27" t="inlineStr">
        <is>
          <t>LUX</t>
        </is>
      </c>
      <c r="D31" s="27" t="inlineStr">
        <is>
          <t>KN-Z-WH1-B04</t>
        </is>
      </c>
      <c r="E31" s="27" t="inlineStr">
        <is>
          <t>https://www.zigbee2mqtt.io/devices/KN-Z-WH1-B04.html</t>
        </is>
      </c>
      <c r="F31" s="27" t="inlineStr">
        <is>
          <t>local_temperature; occupied_heating_setpoint; system_mode; fan_mode</t>
        </is>
      </c>
      <c r="G31" s="27" t="inlineStr">
        <is>
          <t>KONOz thermostat: local_temperature; occupied_heating/cooling_setpoint 10-30; system_mode off/heat/cool; fan_mode.</t>
        </is>
      </c>
      <c r="H31" s="27" t="inlineStr">
        <is>
          <t>No</t>
        </is>
      </c>
      <c r="I31" s="27" t="inlineStr">
        <is>
          <t>No</t>
        </is>
      </c>
      <c r="J31" s="27" t="inlineStr">
        <is>
          <t>No</t>
        </is>
      </c>
      <c r="K31" s="27" t="inlineStr">
        <is>
          <t>No</t>
        </is>
      </c>
      <c r="L31" s="27" t="inlineStr">
        <is>
          <t>Yes</t>
        </is>
      </c>
      <c r="M31" s="27" t="inlineStr">
        <is>
          <t>No</t>
        </is>
      </c>
      <c r="N31" s="27" t="inlineStr">
        <is>
          <t>No</t>
        </is>
      </c>
      <c r="O31" s="27" t="inlineStr">
        <is>
          <t>No</t>
        </is>
      </c>
      <c r="P31" s="27" t="inlineStr">
        <is>
          <t>No</t>
        </is>
      </c>
      <c r="Q31" s="27" t="inlineStr">
        <is>
          <t>No</t>
        </is>
      </c>
      <c r="R31" s="27" t="inlineStr">
        <is>
          <t>Yes</t>
        </is>
      </c>
      <c r="S31" s="27" t="inlineStr">
        <is>
          <t>Yes</t>
        </is>
      </c>
      <c r="T31" s="27" t="inlineStr">
        <is>
          <t>Yes</t>
        </is>
      </c>
      <c r="U31" s="27" t="inlineStr">
        <is>
          <t>No</t>
        </is>
      </c>
      <c r="V31" s="27" t="inlineStr">
        <is>
          <t>No</t>
        </is>
      </c>
      <c r="W31" s="27" t="inlineStr">
        <is>
          <t>No</t>
        </is>
      </c>
      <c r="X31" s="27" t="inlineStr">
        <is>
          <t>Medium</t>
        </is>
      </c>
      <c r="Y31" s="27" t="inlineStr">
        <is>
          <t>fan_mode is listed as a climate feature but the page gives no type/values; marked Yes because the property is explicitly exposed. Flag for adjudication.</t>
        </is>
      </c>
      <c r="Z31" s="27">
        <f>COUNTIF(H31:W31,"Yes")</f>
        <v/>
      </c>
      <c r="AA31" s="27">
        <f>COUNTIF(H31:W31,"Uncertain")</f>
        <v/>
      </c>
    </row>
    <row r="32">
      <c r="A32" s="27" t="n">
        <v>31</v>
      </c>
      <c r="B32" s="27" t="inlineStr">
        <is>
          <t>E02</t>
        </is>
      </c>
      <c r="C32" s="27" t="inlineStr">
        <is>
          <t>SONOFF</t>
        </is>
      </c>
      <c r="D32" s="27" t="inlineStr">
        <is>
          <t>SNZB-02D</t>
        </is>
      </c>
      <c r="E32" s="27" t="inlineStr">
        <is>
          <t>https://www.zigbee2mqtt.io/devices/SNZB-02D.html</t>
        </is>
      </c>
      <c r="F32" s="27" t="inlineStr">
        <is>
          <t>temperature; humidity; battery</t>
        </is>
      </c>
      <c r="G32" s="27" t="inlineStr">
        <is>
          <t>temperature; humidity; battery % 0-100 (display comfort thresholds ignored).</t>
        </is>
      </c>
      <c r="H32" s="27" t="inlineStr">
        <is>
          <t>No</t>
        </is>
      </c>
      <c r="I32" s="27" t="inlineStr">
        <is>
          <t>No</t>
        </is>
      </c>
      <c r="J32" s="27" t="inlineStr">
        <is>
          <t>No</t>
        </is>
      </c>
      <c r="K32" s="27" t="inlineStr">
        <is>
          <t>No</t>
        </is>
      </c>
      <c r="L32" s="27" t="inlineStr">
        <is>
          <t>Yes</t>
        </is>
      </c>
      <c r="M32" s="27" t="inlineStr">
        <is>
          <t>Yes</t>
        </is>
      </c>
      <c r="N32" s="27" t="inlineStr">
        <is>
          <t>No</t>
        </is>
      </c>
      <c r="O32" s="27" t="inlineStr">
        <is>
          <t>No</t>
        </is>
      </c>
      <c r="P32" s="27" t="inlineStr">
        <is>
          <t>No</t>
        </is>
      </c>
      <c r="Q32" s="27" t="inlineStr">
        <is>
          <t>No</t>
        </is>
      </c>
      <c r="R32" s="27" t="inlineStr">
        <is>
          <t>No</t>
        </is>
      </c>
      <c r="S32" s="27" t="inlineStr">
        <is>
          <t>No</t>
        </is>
      </c>
      <c r="T32" s="27" t="inlineStr">
        <is>
          <t>No</t>
        </is>
      </c>
      <c r="U32" s="27" t="inlineStr">
        <is>
          <t>No</t>
        </is>
      </c>
      <c r="V32" s="27" t="inlineStr">
        <is>
          <t>No</t>
        </is>
      </c>
      <c r="W32" s="27" t="inlineStr">
        <is>
          <t>Yes</t>
        </is>
      </c>
      <c r="X32" s="27" t="inlineStr">
        <is>
          <t>High</t>
        </is>
      </c>
      <c r="Y32" s="27" t="n"/>
      <c r="Z32" s="27">
        <f>COUNTIF(H32:W32,"Yes")</f>
        <v/>
      </c>
      <c r="AA32" s="27">
        <f>COUNTIF(H32:W32,"Uncertain")</f>
        <v/>
      </c>
    </row>
    <row r="33">
      <c r="A33" s="27" t="n">
        <v>32</v>
      </c>
      <c r="B33" s="27" t="inlineStr">
        <is>
          <t>T03</t>
        </is>
      </c>
      <c r="C33" s="27" t="inlineStr">
        <is>
          <t>ShinaSystem</t>
        </is>
      </c>
      <c r="D33" s="27" t="inlineStr">
        <is>
          <t>TCM-300Z</t>
        </is>
      </c>
      <c r="E33" s="27" t="inlineStr">
        <is>
          <t>https://www.zigbee2mqtt.io/devices/TCM-300Z.html</t>
        </is>
      </c>
      <c r="F33" s="27" t="inlineStr">
        <is>
          <t>local_temperature; occupied_heating_setpoint; occupied_cooling_setpoint; system_mode</t>
        </is>
      </c>
      <c r="G33" s="27" t="inlineStr">
        <is>
          <t>SiHAS thermostat: local_temperature; occupied_heating/cooling_setpoint; system_mode off/heat/cool; no fan_mode (keypad_lockout is not a fan).</t>
        </is>
      </c>
      <c r="H33" s="27" t="inlineStr">
        <is>
          <t>No</t>
        </is>
      </c>
      <c r="I33" s="27" t="inlineStr">
        <is>
          <t>No</t>
        </is>
      </c>
      <c r="J33" s="27" t="inlineStr">
        <is>
          <t>No</t>
        </is>
      </c>
      <c r="K33" s="27" t="inlineStr">
        <is>
          <t>No</t>
        </is>
      </c>
      <c r="L33" s="27" t="inlineStr">
        <is>
          <t>Yes</t>
        </is>
      </c>
      <c r="M33" s="27" t="inlineStr">
        <is>
          <t>No</t>
        </is>
      </c>
      <c r="N33" s="27" t="inlineStr">
        <is>
          <t>No</t>
        </is>
      </c>
      <c r="O33" s="27" t="inlineStr">
        <is>
          <t>No</t>
        </is>
      </c>
      <c r="P33" s="27" t="inlineStr">
        <is>
          <t>No</t>
        </is>
      </c>
      <c r="Q33" s="27" t="inlineStr">
        <is>
          <t>No</t>
        </is>
      </c>
      <c r="R33" s="27" t="inlineStr">
        <is>
          <t>Yes</t>
        </is>
      </c>
      <c r="S33" s="27" t="inlineStr">
        <is>
          <t>Yes</t>
        </is>
      </c>
      <c r="T33" s="27" t="inlineStr">
        <is>
          <t>No</t>
        </is>
      </c>
      <c r="U33" s="27" t="inlineStr">
        <is>
          <t>No</t>
        </is>
      </c>
      <c r="V33" s="27" t="inlineStr">
        <is>
          <t>No</t>
        </is>
      </c>
      <c r="W33" s="27" t="inlineStr">
        <is>
          <t>No</t>
        </is>
      </c>
      <c r="X33" s="27" t="inlineStr">
        <is>
          <t>High</t>
        </is>
      </c>
      <c r="Y33" s="27" t="n"/>
      <c r="Z33" s="27">
        <f>COUNTIF(H33:W33,"Yes")</f>
        <v/>
      </c>
      <c r="AA33" s="27">
        <f>COUNTIF(H33:W33,"Uncertain")</f>
        <v/>
      </c>
    </row>
    <row r="34">
      <c r="A34" s="27" t="n">
        <v>33</v>
      </c>
      <c r="B34" s="27" t="inlineStr">
        <is>
          <t>E01</t>
        </is>
      </c>
      <c r="C34" s="27" t="inlineStr">
        <is>
          <t>Tuya</t>
        </is>
      </c>
      <c r="D34" s="27" t="inlineStr">
        <is>
          <t>THS317-ET-TY</t>
        </is>
      </c>
      <c r="E34" s="27" t="inlineStr">
        <is>
          <t>https://www.zigbee2mqtt.io/devices/THS317-ET-TY.html</t>
        </is>
      </c>
      <c r="F34" s="27" t="inlineStr">
        <is>
          <t>temperature; battery</t>
        </is>
      </c>
      <c r="G34" s="27" t="inlineStr">
        <is>
          <t>Temperature sensor with probe: temperature (°C); battery % 0-100. No humidity.</t>
        </is>
      </c>
      <c r="H34" s="27" t="inlineStr">
        <is>
          <t>No</t>
        </is>
      </c>
      <c r="I34" s="27" t="inlineStr">
        <is>
          <t>No</t>
        </is>
      </c>
      <c r="J34" s="27" t="inlineStr">
        <is>
          <t>No</t>
        </is>
      </c>
      <c r="K34" s="27" t="inlineStr">
        <is>
          <t>No</t>
        </is>
      </c>
      <c r="L34" s="27" t="inlineStr">
        <is>
          <t>Yes</t>
        </is>
      </c>
      <c r="M34" s="27" t="inlineStr">
        <is>
          <t>No</t>
        </is>
      </c>
      <c r="N34" s="27" t="inlineStr">
        <is>
          <t>No</t>
        </is>
      </c>
      <c r="O34" s="27" t="inlineStr">
        <is>
          <t>No</t>
        </is>
      </c>
      <c r="P34" s="27" t="inlineStr">
        <is>
          <t>No</t>
        </is>
      </c>
      <c r="Q34" s="27" t="inlineStr">
        <is>
          <t>No</t>
        </is>
      </c>
      <c r="R34" s="27" t="inlineStr">
        <is>
          <t>No</t>
        </is>
      </c>
      <c r="S34" s="27" t="inlineStr">
        <is>
          <t>No</t>
        </is>
      </c>
      <c r="T34" s="27" t="inlineStr">
        <is>
          <t>No</t>
        </is>
      </c>
      <c r="U34" s="27" t="inlineStr">
        <is>
          <t>No</t>
        </is>
      </c>
      <c r="V34" s="27" t="inlineStr">
        <is>
          <t>No</t>
        </is>
      </c>
      <c r="W34" s="27" t="inlineStr">
        <is>
          <t>Yes</t>
        </is>
      </c>
      <c r="X34" s="27" t="inlineStr">
        <is>
          <t>High</t>
        </is>
      </c>
      <c r="Y34" s="27" t="n"/>
      <c r="Z34" s="27">
        <f>COUNTIF(H34:W34,"Yes")</f>
        <v/>
      </c>
      <c r="AA34" s="27">
        <f>COUNTIF(H34:W34,"Uncertain")</f>
        <v/>
      </c>
    </row>
    <row r="35">
      <c r="A35" s="27" t="n">
        <v>34</v>
      </c>
      <c r="B35" s="27" t="inlineStr">
        <is>
          <t>P03</t>
        </is>
      </c>
      <c r="C35" s="27" t="inlineStr">
        <is>
          <t>Innr</t>
        </is>
      </c>
      <c r="D35" s="27" t="inlineStr">
        <is>
          <t>SP 120</t>
        </is>
      </c>
      <c r="E35" s="27" t="inlineStr">
        <is>
          <t>https://www.zigbee2mqtt.io/devices/SP_120.html</t>
        </is>
      </c>
      <c r="F35" s="27" t="inlineStr">
        <is>
          <t>state; power; energy</t>
        </is>
      </c>
      <c r="G35" s="27" t="inlineStr">
        <is>
          <t>Smart plug: state ON/OFF; power (W); energy (kWh cumulative); also voltage/current.</t>
        </is>
      </c>
      <c r="H35" s="27" t="inlineStr">
        <is>
          <t>Yes</t>
        </is>
      </c>
      <c r="I35" s="27" t="inlineStr">
        <is>
          <t>No</t>
        </is>
      </c>
      <c r="J35" s="27" t="inlineStr">
        <is>
          <t>No</t>
        </is>
      </c>
      <c r="K35" s="27" t="inlineStr">
        <is>
          <t>No</t>
        </is>
      </c>
      <c r="L35" s="27" t="inlineStr">
        <is>
          <t>No</t>
        </is>
      </c>
      <c r="M35" s="27" t="inlineStr">
        <is>
          <t>No</t>
        </is>
      </c>
      <c r="N35" s="27" t="inlineStr">
        <is>
          <t>No</t>
        </is>
      </c>
      <c r="O35" s="27" t="inlineStr">
        <is>
          <t>No</t>
        </is>
      </c>
      <c r="P35" s="27" t="inlineStr">
        <is>
          <t>No</t>
        </is>
      </c>
      <c r="Q35" s="27" t="inlineStr">
        <is>
          <t>No</t>
        </is>
      </c>
      <c r="R35" s="27" t="inlineStr">
        <is>
          <t>No</t>
        </is>
      </c>
      <c r="S35" s="27" t="inlineStr">
        <is>
          <t>No</t>
        </is>
      </c>
      <c r="T35" s="27" t="inlineStr">
        <is>
          <t>No</t>
        </is>
      </c>
      <c r="U35" s="27" t="inlineStr">
        <is>
          <t>Yes</t>
        </is>
      </c>
      <c r="V35" s="27" t="inlineStr">
        <is>
          <t>Yes</t>
        </is>
      </c>
      <c r="W35" s="27" t="inlineStr">
        <is>
          <t>No</t>
        </is>
      </c>
      <c r="X35" s="27" t="inlineStr">
        <is>
          <t>High</t>
        </is>
      </c>
      <c r="Y35" s="27" t="n"/>
      <c r="Z35" s="27">
        <f>COUNTIF(H35:W35,"Yes")</f>
        <v/>
      </c>
      <c r="AA35" s="27">
        <f>COUNTIF(H35:W35,"Uncertain")</f>
        <v/>
      </c>
    </row>
    <row r="36">
      <c r="A36" s="27" t="n">
        <v>35</v>
      </c>
      <c r="B36" s="27" t="inlineStr">
        <is>
          <t>L04</t>
        </is>
      </c>
      <c r="C36" s="27" t="inlineStr">
        <is>
          <t>Ltech</t>
        </is>
      </c>
      <c r="D36" s="27" t="inlineStr">
        <is>
          <t>TY-75-24-G2Z2_CCT</t>
        </is>
      </c>
      <c r="E36" s="27" t="inlineStr">
        <is>
          <t>https://www.zigbee2mqtt.io/devices/TY-75-24-G2Z2_CCT.html</t>
        </is>
      </c>
      <c r="F36" s="27" t="inlineStr">
        <is>
          <t>state; brightness; color_temp</t>
        </is>
      </c>
      <c r="G36" s="27" t="inlineStr">
        <is>
          <t>Tunable white LED driver: state; brightness 0-254; color_temp 250-454.</t>
        </is>
      </c>
      <c r="H36" s="27" t="inlineStr">
        <is>
          <t>Yes</t>
        </is>
      </c>
      <c r="I36" s="27" t="inlineStr">
        <is>
          <t>Yes</t>
        </is>
      </c>
      <c r="J36" s="27" t="inlineStr">
        <is>
          <t>No</t>
        </is>
      </c>
      <c r="K36" s="27" t="inlineStr">
        <is>
          <t>Yes</t>
        </is>
      </c>
      <c r="L36" s="27" t="inlineStr">
        <is>
          <t>No</t>
        </is>
      </c>
      <c r="M36" s="27" t="inlineStr">
        <is>
          <t>No</t>
        </is>
      </c>
      <c r="N36" s="27" t="inlineStr">
        <is>
          <t>No</t>
        </is>
      </c>
      <c r="O36" s="27" t="inlineStr">
        <is>
          <t>No</t>
        </is>
      </c>
      <c r="P36" s="27" t="inlineStr">
        <is>
          <t>No</t>
        </is>
      </c>
      <c r="Q36" s="27" t="inlineStr">
        <is>
          <t>No</t>
        </is>
      </c>
      <c r="R36" s="27" t="inlineStr">
        <is>
          <t>No</t>
        </is>
      </c>
      <c r="S36" s="27" t="inlineStr">
        <is>
          <t>No</t>
        </is>
      </c>
      <c r="T36" s="27" t="inlineStr">
        <is>
          <t>No</t>
        </is>
      </c>
      <c r="U36" s="27" t="inlineStr">
        <is>
          <t>No</t>
        </is>
      </c>
      <c r="V36" s="27" t="inlineStr">
        <is>
          <t>No</t>
        </is>
      </c>
      <c r="W36" s="27" t="inlineStr">
        <is>
          <t>No</t>
        </is>
      </c>
      <c r="X36" s="27" t="inlineStr">
        <is>
          <t>High</t>
        </is>
      </c>
      <c r="Y36" s="27" t="n"/>
      <c r="Z36" s="27">
        <f>COUNTIF(H36:W36,"Yes")</f>
        <v/>
      </c>
      <c r="AA36" s="27">
        <f>COUNTIF(H36:W36,"Uncertain")</f>
        <v/>
      </c>
    </row>
    <row r="37">
      <c r="A37" s="27" t="n">
        <v>36</v>
      </c>
      <c r="B37" s="27" t="inlineStr">
        <is>
          <t>P04</t>
        </is>
      </c>
      <c r="C37" s="27" t="inlineStr">
        <is>
          <t>Innr</t>
        </is>
      </c>
      <c r="D37" s="27" t="inlineStr">
        <is>
          <t>SP 240</t>
        </is>
      </c>
      <c r="E37" s="27" t="inlineStr">
        <is>
          <t>https://www.zigbee2mqtt.io/devices/SP_240.html</t>
        </is>
      </c>
      <c r="F37" s="27" t="inlineStr">
        <is>
          <t>state; power; energy</t>
        </is>
      </c>
      <c r="G37" s="27" t="inlineStr">
        <is>
          <t>Smart plug: state ON/OFF; power (W); energy (kWh cumulative); also voltage/current.</t>
        </is>
      </c>
      <c r="H37" s="27" t="inlineStr">
        <is>
          <t>Yes</t>
        </is>
      </c>
      <c r="I37" s="27" t="inlineStr">
        <is>
          <t>No</t>
        </is>
      </c>
      <c r="J37" s="27" t="inlineStr">
        <is>
          <t>No</t>
        </is>
      </c>
      <c r="K37" s="27" t="inlineStr">
        <is>
          <t>No</t>
        </is>
      </c>
      <c r="L37" s="27" t="inlineStr">
        <is>
          <t>No</t>
        </is>
      </c>
      <c r="M37" s="27" t="inlineStr">
        <is>
          <t>No</t>
        </is>
      </c>
      <c r="N37" s="27" t="inlineStr">
        <is>
          <t>No</t>
        </is>
      </c>
      <c r="O37" s="27" t="inlineStr">
        <is>
          <t>No</t>
        </is>
      </c>
      <c r="P37" s="27" t="inlineStr">
        <is>
          <t>No</t>
        </is>
      </c>
      <c r="Q37" s="27" t="inlineStr">
        <is>
          <t>No</t>
        </is>
      </c>
      <c r="R37" s="27" t="inlineStr">
        <is>
          <t>No</t>
        </is>
      </c>
      <c r="S37" s="27" t="inlineStr">
        <is>
          <t>No</t>
        </is>
      </c>
      <c r="T37" s="27" t="inlineStr">
        <is>
          <t>No</t>
        </is>
      </c>
      <c r="U37" s="27" t="inlineStr">
        <is>
          <t>Yes</t>
        </is>
      </c>
      <c r="V37" s="27" t="inlineStr">
        <is>
          <t>Yes</t>
        </is>
      </c>
      <c r="W37" s="27" t="inlineStr">
        <is>
          <t>No</t>
        </is>
      </c>
      <c r="X37" s="27" t="inlineStr">
        <is>
          <t>High</t>
        </is>
      </c>
      <c r="Y37" s="27" t="n"/>
      <c r="Z37" s="27">
        <f>COUNTIF(H37:W37,"Yes")</f>
        <v/>
      </c>
      <c r="AA37" s="27">
        <f>COUNTIF(H37:W37,"Uncertain")</f>
        <v/>
      </c>
    </row>
    <row r="40">
      <c r="A40" s="24" t="inlineStr">
        <is>
          <t>Completion checks (for the second annotator)</t>
        </is>
      </c>
      <c r="B40" s="1" t="n"/>
      <c r="C40" s="1" t="n"/>
      <c r="D40" s="1" t="n"/>
      <c r="E40" s="1" t="n"/>
      <c r="F40" s="1" t="n"/>
    </row>
    <row r="41">
      <c r="A41" s="20" t="inlineStr">
        <is>
          <t>Check</t>
        </is>
      </c>
      <c r="B41" s="20" t="inlineStr">
        <is>
          <t>Expected</t>
        </is>
      </c>
      <c r="C41" s="19" t="n"/>
      <c r="D41" s="19" t="n"/>
      <c r="E41" s="19" t="n"/>
      <c r="F41" s="19" t="n"/>
    </row>
    <row r="42">
      <c r="A42" s="19" t="inlineStr">
        <is>
          <t>All 36 cases reviewed</t>
        </is>
      </c>
      <c r="B42" s="19" t="inlineStr">
        <is>
          <t>36</t>
        </is>
      </c>
      <c r="C42" s="19" t="n"/>
      <c r="D42" s="19" t="n"/>
      <c r="E42" s="19" t="n"/>
      <c r="F42" s="19" t="n"/>
    </row>
    <row r="43">
      <c r="A43" s="19" t="inlineStr">
        <is>
          <t>No blank confidence fields</t>
        </is>
      </c>
      <c r="B43" s="19" t="inlineStr">
        <is>
          <t>0 blanks</t>
        </is>
      </c>
      <c r="C43" s="19" t="n"/>
      <c r="D43" s="19" t="n"/>
      <c r="E43" s="19" t="n"/>
      <c r="F43" s="19" t="n"/>
    </row>
    <row r="44">
      <c r="A44" s="19" t="inlineStr">
        <is>
          <t>Uncertain decisions documented</t>
        </is>
      </c>
      <c r="B44" s="19" t="inlineStr">
        <is>
          <t>Evidence/comments for each</t>
        </is>
      </c>
      <c r="C44" s="19" t="n"/>
      <c r="D44" s="19" t="n"/>
      <c r="E44" s="19" t="n"/>
      <c r="F44" s="19" t="n"/>
    </row>
  </sheetData>
  <mergeCells count="1">
    <mergeCell ref="A40:F40"/>
  </mergeCells>
  <conditionalFormatting sqref="H2:W37">
    <cfRule type="expression" priority="1" dxfId="0">
      <formula>H2="Yes"</formula>
    </cfRule>
    <cfRule type="expression" priority="2" dxfId="1">
      <formula>H2="Uncertain"</formula>
    </cfRule>
  </conditionalFormatting>
  <conditionalFormatting sqref="AA2:AA37">
    <cfRule type="cellIs" priority="3" operator="greaterThan" dxfId="1">
      <formula>0</formula>
    </cfRule>
  </conditionalFormatting>
  <dataValidations count="2">
    <dataValidation sqref="H2:W37" showDropDown="0" showInputMessage="0" showErrorMessage="0" allowBlank="0" type="list">
      <formula1>"Yes,No,Uncertain"</formula1>
    </dataValidation>
    <dataValidation sqref="X2:X37" showDropDown="0" showInputMessage="0" showErrorMessage="0" allowBlank="0" type="list">
      <formula1>"High,Medium,Low"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2026-10-28T18:33:49Z</dcterms:created>
  <dcterms:modified xmlns:dcterms="http://purl.org/dc/terms/" xmlns:xsi="http://www.w3.org/2001/XMLSchema-instance" xsi:type="dcterms:W3CDTF">2026-10-28T18:33:49Z</dcterms:modified>
</cp:coreProperties>
</file>